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95b610c1a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26a10fa5f7d4c69"/>
    <x:sheet xmlns:r="http://schemas.openxmlformats.org/officeDocument/2006/relationships" name="Cars" sheetId="2" r:id="Re97f5ec7e5f0444c"/>
    <x:sheet xmlns:r="http://schemas.openxmlformats.org/officeDocument/2006/relationships" name="Model Scores" sheetId="3" r:id="Rd99d4635b3684abd"/>
    <x:sheet xmlns:r="http://schemas.openxmlformats.org/officeDocument/2006/relationships" name="Dashboard" sheetId="4" r:id="Red96725d196f402d"/>
    <x:sheet xmlns:r="http://schemas.openxmlformats.org/officeDocument/2006/relationships" name="How to Use" sheetId="5" r:id="R9f2c721b33cf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.00%"/>
    <x:numFmt numFmtId="202" formatCode="#,##0"/>
    <x:numFmt numFmtId="203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wrapText="1"/>
    </x:xf>
    <x:xf numFmtId="200" fontId="0" fillId="0" borderId="0" xfId="0" applyNumberFormat="1" applyFont="1" applyFill="1" applyBorder="1" applyAlignment="1">
      <x:alignment horizontal="left" wrapText="1"/>
    </x:xf>
    <x:xf numFmtId="201" fontId="0" fillId="0" borderId="0" xfId="0" applyNumberFormat="1" applyFont="1" applyFill="1" applyBorder="1" applyAlignment="1">
      <x:alignment horizontal="left" wrapText="1"/>
    </x:xf>
    <x:xf numFmtId="200" fontId="0" fillId="0" borderId="1" xfId="0" applyNumberFormat="1" applyFont="1" applyFill="1" applyBorder="1" applyAlignment="1">
      <x:alignment horizontal="left" wrapText="1"/>
    </x:xf>
    <x:xf numFmtId="201" fontId="0" fillId="0" borderId="1" xfId="0" applyNumberFormat="1" applyFont="1" applyFill="1" applyBorder="1" applyAlignment="1">
      <x:alignment horizontal="left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9aad14e4a4069" /><Relationship Type="http://schemas.openxmlformats.org/officeDocument/2006/relationships/theme" Target="/xl/theme/theme1.xml" Id="R09a9cbc083d44b0f" /><Relationship Type="http://schemas.openxmlformats.org/officeDocument/2006/relationships/sharedStrings" Target="/xl/sharedStrings.xml" Id="R50192e890d1e4477" /><Relationship Type="http://schemas.openxmlformats.org/officeDocument/2006/relationships/worksheet" Target="/xl/worksheets/sheet1.xml" Id="R126a10fa5f7d4c69" /><Relationship Type="http://schemas.openxmlformats.org/officeDocument/2006/relationships/worksheet" Target="/xl/worksheets/sheet2.xml" Id="Re97f5ec7e5f0444c" /><Relationship Type="http://schemas.openxmlformats.org/officeDocument/2006/relationships/worksheet" Target="/xl/worksheets/sheet3.xml" Id="Rd99d4635b3684abd" /><Relationship Type="http://schemas.openxmlformats.org/officeDocument/2006/relationships/worksheet" Target="/xl/worksheets/sheet4.xml" Id="Red96725d196f402d" /><Relationship Type="http://schemas.openxmlformats.org/officeDocument/2006/relationships/worksheet" Target="/xl/worksheets/sheet5.xml" Id="R9f2c721b33cf48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dd0eda2c3047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Car Scores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Price</c:v>
          </c:tx>
          <c:cat>
            <c:strRef>
              <c:f>'Dashboard'!$B$12:$B$21</c:f>
              <c:strCache>
                <c:ptCount val="0"/>
              </c:strCache>
            </c:strRef>
          </c:cat>
          <c:val>
            <c:numRef>
              <c:f>'Dashboard'!$C$12:$C$21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Mileage</c:v>
          </c:tx>
          <c:cat>
            <c:strRef>
              <c:f>'Dashboard'!$B$12:$B$21</c:f>
              <c:strCache>
                <c:ptCount val="0"/>
              </c:strCache>
            </c:strRef>
          </c:cat>
          <c:val>
            <c:numRef>
              <c:f>'Dashboard'!$D$12:$D$21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Monthly</c:v>
          </c:tx>
          <c:cat>
            <c:strRef>
              <c:f>'Dashboard'!$B$12:$B$21</c:f>
              <c:strCache>
                <c:ptCount val="0"/>
              </c:strCache>
            </c:strRef>
          </c:cat>
          <c:val>
            <c:numRef>
              <c:f>'Dashboard'!$E$12:$E$21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Score</c:v>
          </c:tx>
          <c:cat>
            <c:strRef>
              <c:f>'Dashboard'!$B$12:$B$21</c:f>
              <c:strCache>
                <c:ptCount val="0"/>
              </c:strCache>
            </c:strRef>
          </c:cat>
          <c:val>
            <c:numRef>
              <c:f>'Dashboard'!$F$12:$F$21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dd0eda2c3047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sTable" displayName="CarsTable" ref="A1:AF101" headerRowCount="1">
  <x:tableColumns count="32">
    <x:tableColumn id="1" name="Rank"/>
    <x:tableColumn id="2" name="VIN"/>
    <x:tableColumn id="3" name="Year"/>
    <x:tableColumn id="4" name="Make"/>
    <x:tableColumn id="5" name="Model"/>
    <x:tableColumn id="6" name="Trim"/>
    <x:tableColumn id="7" name="Body Style"/>
    <x:tableColumn id="8" name="Price"/>
    <x:tableColumn id="9" name="Mileage"/>
    <x:tableColumn id="10" name="Cargo seats-down cu ft"/>
    <x:tableColumn id="11" name="Accidents"/>
    <x:tableColumn id="12" name="Owners"/>
    <x:tableColumn id="13" name="Short 2nd Owner?"/>
    <x:tableColumn id="14" name="Rental/Fleet?"/>
    <x:tableColumn id="15" name="Title Issue?"/>
    <x:tableColumn id="16" name="Desired Body?"/>
    <x:tableColumn id="17" name="Model Key"/>
    <x:tableColumn id="18" name="Reliability Score"/>
    <x:tableColumn id="19" name="Space Score"/>
    <x:tableColumn id="20" name="Age"/>
    <x:tableColumn id="21" name="Estimated APR"/>
    <x:tableColumn id="22" name="Out-the-door Est."/>
    <x:tableColumn id="23" name="Amount Financed"/>
    <x:tableColumn id="24" name="Monthly @ Term"/>
    <x:tableColumn id="25" name="Payment Score"/>
    <x:tableColumn id="26" name="Mileage Penalty"/>
    <x:tableColumn id="27" name="Age Penalty"/>
    <x:tableColumn id="28" name="History Penalty"/>
    <x:tableColumn id="29" name="Finance Penalty"/>
    <x:tableColumn id="30" name="Total Score"/>
    <x:tableColumn id="31" name="Verdict"/>
    <x:tableColumn id="32" name="Notes / History Summary"/>
  </x:tableColumns>
  <x:tableStyleInfo name="TableStyleMedium2" showRowStripes="1"/>
</x:table>
</file>

<file path=xl/tables/table2.xml><?xml version="1.0" encoding="utf-8"?>
<x:table xmlns:x="http://schemas.openxmlformats.org/spreadsheetml/2006/main" id="2" name="ModelScoresTable" displayName="ModelScoresTable" ref="A1:D15" headerRowCount="1">
  <x:tableColumns count="4">
    <x:tableColumn id="1" name="Make/Model Key"/>
    <x:tableColumn id="2" name="Reliability Score"/>
    <x:tableColumn id="3" name="Space Scor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82210fe76f41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963bfc83854c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907d243b51f416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</x:cols>
  <x:sheetData>
    <x:row r="1" ht="24" customHeight="1">
      <x:c r="A1" s="7" t="str">
        <x:v>Used Car Optimizer - Assumptions</x:v>
      </x:c>
      <x:c r="B1" s="7" t="str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12" t="str">
        <x:v>Down payment</x:v>
      </x:c>
      <x:c r="B2" s="16" t="n">
        <x:v>5000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12" t="str">
        <x:v>Sales tax rate</x:v>
      </x:c>
      <x:c r="B3" s="17" t="n">
        <x:v>0.0875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12" t="str">
        <x:v>Estimated DMV/dealer fees</x:v>
      </x:c>
      <x:c r="B4" s="16" t="n">
        <x:v>650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12" t="str">
        <x:v>Monthly payment budget</x:v>
      </x:c>
      <x:c r="B5" s="16" t="n">
        <x:v>300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12" t="str">
        <x:v>Default loan term (months)</x:v>
      </x:c>
      <x:c r="B6" s="14" t="n">
        <x:v>72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12" t="str">
        <x:v>Base used-car APR</x:v>
      </x:c>
      <x:c r="B7" s="17" t="n">
        <x:v>0.065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12" t="str">
        <x:v>APR add if year &lt;= 2016</x:v>
      </x:c>
      <x:c r="B8" s="17" t="n">
        <x:v>0.015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12" t="str">
        <x:v>APR add if mileage &gt; 100k</x:v>
      </x:c>
      <x:c r="B9" s="17" t="n">
        <x:v>0.01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12" t="str">
        <x:v>APR add if mileage &gt; 120k</x:v>
      </x:c>
      <x:c r="B10" s="17" t="n">
        <x:v>0.02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12" t="str">
        <x:v>APR add if mileage &gt; 150k</x:v>
      </x:c>
      <x:c r="B11" s="17" t="n">
        <x:v>0.035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12" t="str">
        <x:v>Current year</x:v>
      </x:c>
      <x:c r="B12" s="14" t="n">
        <x:v>2026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12" t="str">
        <x:v>Max preferred mileage</x:v>
      </x:c>
      <x:c r="B13" s="14" t="n">
        <x:v>100000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12" t="str">
        <x:v>Hard payment penalty multiplier</x:v>
      </x:c>
      <x:c r="B14" s="14" t="n">
        <x:v>2.5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12" t="str">
        <x:v>Notes</x:v>
      </x:c>
      <x:c r="B15" s="14" t="str">
        <x:v>Edit these assumptions as you get real lender quotes. APR should be entered as a decimal, e.g. 0.075 for 7.5%.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18" hidden="0" customWidth="1"/>
    <x:col min="32" max="32" width="36" hidden="0" customWidth="1"/>
  </x:cols>
  <x:sheetData>
    <x:row r="1">
      <x:c r="A1" s="7" t="str">
        <x:v>Rank</x:v>
      </x:c>
      <x:c r="B1" s="7" t="str">
        <x:v>VIN</x:v>
      </x:c>
      <x:c r="C1" s="7" t="str">
        <x:v>Year</x:v>
      </x:c>
      <x:c r="D1" s="7" t="str">
        <x:v>Make</x:v>
      </x:c>
      <x:c r="E1" s="7" t="str">
        <x:v>Model</x:v>
      </x:c>
      <x:c r="F1" s="7" t="str">
        <x:v>Trim</x:v>
      </x:c>
      <x:c r="G1" s="7" t="str">
        <x:v>Body Style</x:v>
      </x:c>
      <x:c r="H1" s="7" t="str">
        <x:v>Price</x:v>
      </x:c>
      <x:c r="I1" s="7" t="str">
        <x:v>Mileage</x:v>
      </x:c>
      <x:c r="J1" s="7" t="str">
        <x:v>Cargo seats-down cu ft</x:v>
      </x:c>
      <x:c r="K1" s="7" t="str">
        <x:v>Accidents</x:v>
      </x:c>
      <x:c r="L1" s="7" t="str">
        <x:v>Owners</x:v>
      </x:c>
      <x:c r="M1" s="7" t="str">
        <x:v>Short 2nd Owner?</x:v>
      </x:c>
      <x:c r="N1" s="7" t="str">
        <x:v>Rental/Fleet?</x:v>
      </x:c>
      <x:c r="O1" s="7" t="str">
        <x:v>Title Issue?</x:v>
      </x:c>
      <x:c r="P1" s="7" t="str">
        <x:v>Desired Body?</x:v>
      </x:c>
      <x:c r="Q1" s="7" t="str">
        <x:v>Model Key</x:v>
      </x:c>
      <x:c r="R1" s="7" t="str">
        <x:v>Reliability Score</x:v>
      </x:c>
      <x:c r="S1" s="7" t="str">
        <x:v>Space Score</x:v>
      </x:c>
      <x:c r="T1" s="7" t="str">
        <x:v>Age</x:v>
      </x:c>
      <x:c r="U1" s="7" t="str">
        <x:v>Estimated APR</x:v>
      </x:c>
      <x:c r="V1" s="7" t="str">
        <x:v>Out-the-door Est.</x:v>
      </x:c>
      <x:c r="W1" s="7" t="str">
        <x:v>Amount Financed</x:v>
      </x:c>
      <x:c r="X1" s="7" t="str">
        <x:v>Monthly @ Term</x:v>
      </x:c>
      <x:c r="Y1" s="7" t="str">
        <x:v>Payment Score</x:v>
      </x:c>
      <x:c r="Z1" s="7" t="str">
        <x:v>Mileage Penalty</x:v>
      </x:c>
      <x:c r="AA1" s="7" t="str">
        <x:v>Age Penalty</x:v>
      </x:c>
      <x:c r="AB1" s="7" t="str">
        <x:v>History Penalty</x:v>
      </x:c>
      <x:c r="AC1" s="7" t="str">
        <x:v>Finance Penalty</x:v>
      </x:c>
      <x:c r="AD1" s="7" t="str">
        <x:v>Total Score</x:v>
      </x:c>
      <x:c r="AE1" s="7" t="str">
        <x:v>Verdict</x:v>
      </x:c>
      <x:c r="AF1" s="7" t="str">
        <x:v>Notes / History Summary</x:v>
      </x:c>
    </x:row>
    <x:row r="2">
      <x:c r="A2" s="2" t="n">
        <x:f>IF($AD2="","",COUNTIF($AD$2:$AD$101,"&gt;"&amp;$AD2)+COUNTIFS($AD$2:$AD2,$AD2))</x:f>
        <x:v>6</x:v>
      </x:c>
      <x:c r="B2" s="2" t="str">
        <x:v>3MVDMBDL2MM241517</x:v>
      </x:c>
      <x:c r="C2" s="2" t="n">
        <x:v>2021</x:v>
      </x:c>
      <x:c r="D2" s="2" t="str">
        <x:v>Mazda</x:v>
      </x:c>
      <x:c r="E2" s="2" t="str">
        <x:v>CX-30</x:v>
      </x:c>
      <x:c r="F2" s="2" t="str">
        <x:v>AWD</x:v>
      </x:c>
      <x:c r="G2" s="2" t="str">
        <x:v>SUV</x:v>
      </x:c>
      <x:c r="H2" s="20" t="n">
        <x:v>21000</x:v>
      </x:c>
      <x:c r="I2" s="22" t="n">
        <x:v>40000</x:v>
      </x:c>
      <x:c r="J2" s="22" t="n">
        <x:v>45.2</x:v>
      </x:c>
      <x:c r="K2" s="2" t="n">
        <x:v>0</x:v>
      </x:c>
      <x:c r="L2" s="2" t="n">
        <x:v>2</x:v>
      </x:c>
      <x:c r="M2" s="2" t="str">
        <x:v>Yes</x:v>
      </x:c>
      <x:c r="N2" s="2" t="str">
        <x:v>No</x:v>
      </x:c>
      <x:c r="O2" s="2" t="str">
        <x:v>No</x:v>
      </x:c>
      <x:c r="P2" s="2" t="str">
        <x:v>Yes</x:v>
      </x:c>
      <x:c r="Q2" s="2" t="str">
        <x:v>Mazda CX-30</x:v>
      </x:c>
      <x:c r="R2" s="2" t="n">
        <x:f>IFERROR(VLOOKUP($Q2,'Model Scores'!$A$2:$D$100,2,FALSE),70)</x:f>
        <x:v>82</x:v>
      </x:c>
      <x:c r="S2" s="2" t="n">
        <x:f>IFERROR(VLOOKUP($Q2,'Model Scores'!$A$2:$D$100,3,FALSE),60)</x:f>
        <x:v>62</x:v>
      </x:c>
      <x:c r="T2" s="2" t="n">
        <x:f>IF($C2="","",Inputs!$B$12-$C2)</x:f>
        <x:v>5</x:v>
      </x:c>
      <x:c r="U2" s="24" t="n">
        <x:f>IF($H2="","",Inputs!$B$7+IF($C2&lt;=2016,Inputs!$B$8,0)+IF($I2&gt;100000,Inputs!$B$9,0)+IF($I2&gt;120000,Inputs!$B$10,0)+IF($I2&gt;150000,Inputs!$B$11,0))</x:f>
        <x:v>0.065</x:v>
      </x:c>
      <x:c r="V2" s="20" t="n">
        <x:f>IF($H2="","",$H2*(1+Inputs!$B$3)+Inputs!$B$4)</x:f>
        <x:v>23487.499999999996</x:v>
      </x:c>
      <x:c r="W2" s="20" t="n">
        <x:f>IF($V2="","",MAX(0,$V2-Inputs!$B$2))</x:f>
        <x:v>18487.499999999996</x:v>
      </x:c>
      <x:c r="X2" s="20" t="n">
        <x:f>IF($W2="","",IF($U2=0,$W2/Inputs!$B$6,PMT($U2/12,Inputs!$B$6,-$W2)))</x:f>
        <x:v>310.77357391967445</x:v>
      </x:c>
      <x:c r="Y2" s="26" t="n">
        <x:f>IF($X2="","",MAX(0,100-(MAX(0,$X2-Inputs!$B$5)*Inputs!$B$14)))</x:f>
        <x:v>73.06606520081388</x:v>
      </x:c>
      <x:c r="Z2" s="26" t="n">
        <x:f>IF($I2="","",IF($I2&lt;=60000,0,IF($I2&lt;=90000,5,IF($I2&lt;=110000,12,IF($I2&lt;=130000,22,IF($I2&lt;=150000,35,50))))))</x:f>
        <x:v>0</x:v>
      </x:c>
      <x:c r="AA2" s="26" t="n">
        <x:f>IF($T2="","",IF($T2&lt;=5,0,IF($T2&lt;=8,5,IF($T2&lt;=10,12,IF($T2&lt;=12,20,35)))))</x:f>
        <x:v>0</x:v>
      </x:c>
      <x:c r="AB2" s="26" t="n">
        <x:f>IF($J2="","",($K2*18)+IF($L2&gt;=3,10,IF($L2=2,3,0))+IF($M2="Yes",5,0)+IF($N2="Yes",15,0)+IF($O2="Yes",50,0))</x:f>
        <x:v>8</x:v>
      </x:c>
      <x:c r="AC2" s="26" t="n">
        <x:f>IF($U2="","",IF($U2&gt;=0.11,20,IF($U2&gt;=0.09,12,IF($U2&gt;=0.075,6,0))))</x:f>
        <x:v>0</x:v>
      </x:c>
      <x:c r="AD2" s="26" t="n">
        <x:f>IF($H2="","",ROUND(($R2*0.25)+($S2*0.20)+($Y2*0.25)+((100-$Z2-$AA2-$AB2-$AC2)*0.30),1))</x:f>
        <x:v>78.8</x:v>
      </x:c>
      <x:c r="AE2" s="2" t="str">
        <x:f>IF($AD2="","",IF($O2="Yes","SKIP - title issue",IF($X2&gt;Inputs!$B$5,"OVER BUDGET",IF($AD2&gt;=82,"BUY",IF($AD2&gt;=70,"MAYBE","SKIP")))))</x:f>
        <x:v>OVER BUDGET</x:v>
      </x:c>
      <x:c r="AF2" s="2" t="str">
        <x:v>User-provided: $21k, 40k miles. Good car, smaller cargo.</x:v>
      </x:c>
    </x:row>
    <x:row r="3">
      <x:c r="A3" s="2" t="n">
        <x:f>IF($AD3="","",COUNTIF($AD$2:$AD$101,"&gt;"&amp;$AD3)+COUNTIFS($AD$2:$AD3,$AD3))</x:f>
        <x:v>3</x:v>
      </x:c>
      <x:c r="B3" s="2" t="str">
        <x:v>2HKRM3H57EH547399</x:v>
      </x:c>
      <x:c r="C3" s="2" t="n">
        <x:v>2014</x:v>
      </x:c>
      <x:c r="D3" s="2" t="str">
        <x:v>Honda</x:v>
      </x:c>
      <x:c r="E3" s="2" t="str">
        <x:v>CR-V</x:v>
      </x:c>
      <x:c r="F3" s="2" t="str">
        <x:v>EX FWD</x:v>
      </x:c>
      <x:c r="G3" s="2" t="str">
        <x:v>SUV</x:v>
      </x:c>
      <x:c r="H3" s="20" t="n">
        <x:v>16998</x:v>
      </x:c>
      <x:c r="I3" s="22" t="n">
        <x:v>77230</x:v>
      </x:c>
      <x:c r="J3" s="22" t="n">
        <x:v>70.9</x:v>
      </x:c>
      <x:c r="K3" s="2" t="n">
        <x:v>0</x:v>
      </x:c>
      <x:c r="L3" s="2" t="n">
        <x:v>1</x:v>
      </x:c>
      <x:c r="M3" s="2" t="str">
        <x:v>No</x:v>
      </x:c>
      <x:c r="N3" s="2" t="str">
        <x:v>No</x:v>
      </x:c>
      <x:c r="O3" s="2" t="str">
        <x:v>No</x:v>
      </x:c>
      <x:c r="P3" s="2" t="str">
        <x:v>Yes</x:v>
      </x:c>
      <x:c r="Q3" s="2" t="str">
        <x:v>Honda CR-V</x:v>
      </x:c>
      <x:c r="R3" s="2" t="n">
        <x:f>IFERROR(VLOOKUP($Q3,'Model Scores'!$A$2:$D$100,2,FALSE),70)</x:f>
        <x:v>88</x:v>
      </x:c>
      <x:c r="S3" s="2" t="n">
        <x:f>IFERROR(VLOOKUP($Q3,'Model Scores'!$A$2:$D$100,3,FALSE),60)</x:f>
        <x:v>90</x:v>
      </x:c>
      <x:c r="T3" s="2" t="n">
        <x:f>IF($C3="","",Inputs!$B$12-$C3)</x:f>
        <x:v>12</x:v>
      </x:c>
      <x:c r="U3" s="24" t="n">
        <x:f>IF($H3="","",Inputs!$B$7+IF($C3&lt;=2016,Inputs!$B$8,0)+IF($I3&gt;100000,Inputs!$B$9,0)+IF($I3&gt;120000,Inputs!$B$10,0)+IF($I3&gt;150000,Inputs!$B$11,0))</x:f>
        <x:v>0.08</x:v>
      </x:c>
      <x:c r="V3" s="20" t="n">
        <x:f>IF($H3="","",$H3*(1+Inputs!$B$3)+Inputs!$B$4)</x:f>
        <x:v>19135.324999999997</x:v>
      </x:c>
      <x:c r="W3" s="20" t="n">
        <x:f>IF($V3="","",MAX(0,$V3-Inputs!$B$2))</x:f>
        <x:v>14135.324999999997</x:v>
      </x:c>
      <x:c r="X3" s="20" t="n">
        <x:f>IF($W3="","",IF($U3=0,$W3/Inputs!$B$6,PMT($U3/12,Inputs!$B$6,-$W3)))</x:f>
        <x:v>247.83805435315153</x:v>
      </x:c>
      <x:c r="Y3" s="26" t="n">
        <x:f>IF($X3="","",MAX(0,100-(MAX(0,$X3-Inputs!$B$5)*Inputs!$B$14)))</x:f>
        <x:v>100</x:v>
      </x:c>
      <x:c r="Z3" s="26" t="n">
        <x:f>IF($I3="","",IF($I3&lt;=60000,0,IF($I3&lt;=90000,5,IF($I3&lt;=110000,12,IF($I3&lt;=130000,22,IF($I3&lt;=150000,35,50))))))</x:f>
        <x:v>5</x:v>
      </x:c>
      <x:c r="AA3" s="26" t="n">
        <x:f>IF($T3="","",IF($T3&lt;=5,0,IF($T3&lt;=8,5,IF($T3&lt;=10,12,IF($T3&lt;=12,20,35)))))</x:f>
        <x:v>20</x:v>
      </x:c>
      <x:c r="AB3" s="26" t="n">
        <x:f>IF($J3="","",($K3*18)+IF($L3&gt;=3,10,IF($L3=2,3,0))+IF($M3="Yes",5,0)+IF($N3="Yes",15,0)+IF($O3="Yes",50,0))</x:f>
        <x:v>0</x:v>
      </x:c>
      <x:c r="AC3" s="26" t="n">
        <x:f>IF($U3="","",IF($U3&gt;=0.11,20,IF($U3&gt;=0.09,12,IF($U3&gt;=0.075,6,0))))</x:f>
        <x:v>6</x:v>
      </x:c>
      <x:c r="AD3" s="26" t="n">
        <x:f>IF($H3="","",ROUND(($R3*0.25)+($S3*0.20)+($Y3*0.25)+((100-$Z3-$AA3-$AB3-$AC3)*0.30),1))</x:f>
        <x:v>85.7</x:v>
      </x:c>
      <x:c r="AE3" s="2" t="str">
        <x:f>IF($AD3="","",IF($O3="Yes","SKIP - title issue",IF($X3&gt;Inputs!$B$5,"OVER BUDGET",IF($AD3&gt;=82,"BUY",IF($AD3&gt;=70,"MAYBE","SKIP")))))</x:f>
        <x:v>BUY</x:v>
      </x:c>
      <x:c r="AF3" s="2" t="str">
        <x:v>Earlier candidate; verify exact AutoCheck details.</x:v>
      </x:c>
    </x:row>
    <x:row r="4">
      <x:c r="A4" s="2" t="n">
        <x:f>IF($AD4="","",COUNTIF($AD$2:$AD$101,"&gt;"&amp;$AD4)+COUNTIFS($AD$2:$AD4,$AD4))</x:f>
        <x:v>5</x:v>
      </x:c>
      <x:c r="B4" s="2" t="str">
        <x:v>example</x:v>
      </x:c>
      <x:c r="C4" s="2" t="n">
        <x:v>2015</x:v>
      </x:c>
      <x:c r="D4" s="2" t="str">
        <x:v>Lexus</x:v>
      </x:c>
      <x:c r="E4" s="2" t="str">
        <x:v>RX 350</x:v>
      </x:c>
      <x:c r="F4" s="2" t="str">
        <x:v>Base</x:v>
      </x:c>
      <x:c r="G4" s="2" t="str">
        <x:v>SUV</x:v>
      </x:c>
      <x:c r="H4" s="20" t="n">
        <x:v>18000</x:v>
      </x:c>
      <x:c r="I4" s="22" t="n">
        <x:v>83000</x:v>
      </x:c>
      <x:c r="J4" s="22" t="n">
        <x:v>80.3</x:v>
      </x:c>
      <x:c r="K4" s="2" t="n">
        <x:v>0</x:v>
      </x:c>
      <x:c r="L4" s="2" t="n">
        <x:v>2</x:v>
      </x:c>
      <x:c r="M4" s="2" t="str">
        <x:v>Yes</x:v>
      </x:c>
      <x:c r="N4" s="2" t="str">
        <x:v>No</x:v>
      </x:c>
      <x:c r="O4" s="2" t="str">
        <x:v>No</x:v>
      </x:c>
      <x:c r="P4" s="2" t="str">
        <x:v>Yes</x:v>
      </x:c>
      <x:c r="Q4" s="2" t="str">
        <x:v>Lexus RX 350</x:v>
      </x:c>
      <x:c r="R4" s="2" t="n">
        <x:f>IFERROR(VLOOKUP($Q4,'Model Scores'!$A$2:$D$100,2,FALSE),70)</x:f>
        <x:v>90</x:v>
      </x:c>
      <x:c r="S4" s="2" t="n">
        <x:f>IFERROR(VLOOKUP($Q4,'Model Scores'!$A$2:$D$100,3,FALSE),60)</x:f>
        <x:v>90</x:v>
      </x:c>
      <x:c r="T4" s="2" t="n">
        <x:f>IF($C4="","",Inputs!$B$12-$C4)</x:f>
        <x:v>11</x:v>
      </x:c>
      <x:c r="U4" s="24" t="n">
        <x:f>IF($H4="","",Inputs!$B$7+IF($C4&lt;=2016,Inputs!$B$8,0)+IF($I4&gt;100000,Inputs!$B$9,0)+IF($I4&gt;120000,Inputs!$B$10,0)+IF($I4&gt;150000,Inputs!$B$11,0))</x:f>
        <x:v>0.08</x:v>
      </x:c>
      <x:c r="V4" s="20" t="n">
        <x:f>IF($H4="","",$H4*(1+Inputs!$B$3)+Inputs!$B$4)</x:f>
        <x:v>20225</x:v>
      </x:c>
      <x:c r="W4" s="20" t="n">
        <x:f>IF($V4="","",MAX(0,$V4-Inputs!$B$2))</x:f>
        <x:v>15225</x:v>
      </x:c>
      <x:c r="X4" s="20" t="n">
        <x:f>IF($W4="","",IF($U4=0,$W4/Inputs!$B$6,PMT($U4/12,Inputs!$B$6,-$W4)))</x:f>
        <x:v>266.9435883169812</x:v>
      </x:c>
      <x:c r="Y4" s="26" t="n">
        <x:f>IF($X4="","",MAX(0,100-(MAX(0,$X4-Inputs!$B$5)*Inputs!$B$14)))</x:f>
        <x:v>100</x:v>
      </x:c>
      <x:c r="Z4" s="26" t="n">
        <x:f>IF($I4="","",IF($I4&lt;=60000,0,IF($I4&lt;=90000,5,IF($I4&lt;=110000,12,IF($I4&lt;=130000,22,IF($I4&lt;=150000,35,50))))))</x:f>
        <x:v>5</x:v>
      </x:c>
      <x:c r="AA4" s="26" t="n">
        <x:f>IF($T4="","",IF($T4&lt;=5,0,IF($T4&lt;=8,5,IF($T4&lt;=10,12,IF($T4&lt;=12,20,35)))))</x:f>
        <x:v>20</x:v>
      </x:c>
      <x:c r="AB4" s="26" t="n">
        <x:f>IF($J4="","",($K4*18)+IF($L4&gt;=3,10,IF($L4=2,3,0))+IF($M4="Yes",5,0)+IF($N4="Yes",15,0)+IF($O4="Yes",50,0))</x:f>
        <x:v>8</x:v>
      </x:c>
      <x:c r="AC4" s="26" t="n">
        <x:f>IF($U4="","",IF($U4&gt;=0.11,20,IF($U4&gt;=0.09,12,IF($U4&gt;=0.075,6,0))))</x:f>
        <x:v>6</x:v>
      </x:c>
      <x:c r="AD4" s="26" t="n">
        <x:f>IF($H4="","",ROUND(($R4*0.25)+($S4*0.20)+($Y4*0.25)+((100-$Z4-$AA4-$AB4-$AC4)*0.30),1))</x:f>
        <x:v>83.8</x:v>
      </x:c>
      <x:c r="AE4" s="2" t="str">
        <x:f>IF($AD4="","",IF($O4="Yes","SKIP - title issue",IF($X4&gt;Inputs!$B$5,"OVER BUDGET",IF($AD4&gt;=82,"BUY",IF($AD4&gt;=70,"MAYBE","SKIP")))))</x:f>
        <x:v>BUY</x:v>
      </x:c>
      <x:c r="AF4" s="2" t="str">
        <x:v>Placeholder price: edit to real listing price.</x:v>
      </x:c>
    </x:row>
    <x:row r="5">
      <x:c r="A5" s="2" t="n">
        <x:f>IF($AD5="","",COUNTIF($AD$2:$AD$101,"&gt;"&amp;$AD5)+COUNTIFS($AD$2:$AD5,$AD5))</x:f>
        <x:v>2</x:v>
      </x:c>
      <x:c r="B5" s="2" t="str"/>
      <x:c r="C5" s="2" t="n">
        <x:v>2018</x:v>
      </x:c>
      <x:c r="D5" s="2" t="str">
        <x:v>Mazda</x:v>
      </x:c>
      <x:c r="E5" s="2" t="str">
        <x:v>Mazda3</x:v>
      </x:c>
      <x:c r="F5" s="2" t="str">
        <x:v>Hatchback</x:v>
      </x:c>
      <x:c r="G5" s="2" t="str">
        <x:v>Hatchback</x:v>
      </x:c>
      <x:c r="H5" s="20" t="n">
        <x:v>17000</x:v>
      </x:c>
      <x:c r="I5" s="22" t="n">
        <x:v>85000</x:v>
      </x:c>
      <x:c r="J5" s="22" t="n">
        <x:v>47.1</x:v>
      </x:c>
      <x:c r="K5" s="2" t="n">
        <x:v>0</x:v>
      </x:c>
      <x:c r="L5" s="2" t="n">
        <x:v>2</x:v>
      </x:c>
      <x:c r="M5" s="2" t="str">
        <x:v>No</x:v>
      </x:c>
      <x:c r="N5" s="2" t="str">
        <x:v>No</x:v>
      </x:c>
      <x:c r="O5" s="2" t="str">
        <x:v>No</x:v>
      </x:c>
      <x:c r="P5" s="2" t="str">
        <x:v>Yes</x:v>
      </x:c>
      <x:c r="Q5" s="2" t="str">
        <x:v>Mazda3 Hatchback</x:v>
      </x:c>
      <x:c r="R5" s="2" t="n">
        <x:f>IFERROR(VLOOKUP($Q5,'Model Scores'!$A$2:$D$100,2,FALSE),70)</x:f>
        <x:v>83</x:v>
      </x:c>
      <x:c r="S5" s="2" t="n">
        <x:f>IFERROR(VLOOKUP($Q5,'Model Scores'!$A$2:$D$100,3,FALSE),60)</x:f>
        <x:v>70</x:v>
      </x:c>
      <x:c r="T5" s="2" t="n">
        <x:f>IF($C5="","",Inputs!$B$12-$C5)</x:f>
        <x:v>8</x:v>
      </x:c>
      <x:c r="U5" s="24" t="n">
        <x:f>IF($H5="","",Inputs!$B$7+IF($C5&lt;=2016,Inputs!$B$8,0)+IF($I5&gt;100000,Inputs!$B$9,0)+IF($I5&gt;120000,Inputs!$B$10,0)+IF($I5&gt;150000,Inputs!$B$11,0))</x:f>
        <x:v>0.065</x:v>
      </x:c>
      <x:c r="V5" s="20" t="n">
        <x:f>IF($H5="","",$H5*(1+Inputs!$B$3)+Inputs!$B$4)</x:f>
        <x:v>19137.5</x:v>
      </x:c>
      <x:c r="W5" s="20" t="n">
        <x:f>IF($V5="","",MAX(0,$V5-Inputs!$B$2))</x:f>
        <x:v>14137.5</x:v>
      </x:c>
      <x:c r="X5" s="20" t="n">
        <x:f>IF($W5="","",IF($U5=0,$W5/Inputs!$B$6,PMT($U5/12,Inputs!$B$6,-$W5)))</x:f>
        <x:v>237.6503800562217</x:v>
      </x:c>
      <x:c r="Y5" s="26" t="n">
        <x:f>IF($X5="","",MAX(0,100-(MAX(0,$X5-Inputs!$B$5)*Inputs!$B$14)))</x:f>
        <x:v>100</x:v>
      </x:c>
      <x:c r="Z5" s="26" t="n">
        <x:f>IF($I5="","",IF($I5&lt;=60000,0,IF($I5&lt;=90000,5,IF($I5&lt;=110000,12,IF($I5&lt;=130000,22,IF($I5&lt;=150000,35,50))))))</x:f>
        <x:v>5</x:v>
      </x:c>
      <x:c r="AA5" s="26" t="n">
        <x:f>IF($T5="","",IF($T5&lt;=5,0,IF($T5&lt;=8,5,IF($T5&lt;=10,12,IF($T5&lt;=12,20,35)))))</x:f>
        <x:v>5</x:v>
      </x:c>
      <x:c r="AB5" s="26" t="n">
        <x:f>IF($J5="","",($K5*18)+IF($L5&gt;=3,10,IF($L5=2,3,0))+IF($M5="Yes",5,0)+IF($N5="Yes",15,0)+IF($O5="Yes",50,0))</x:f>
        <x:v>3</x:v>
      </x:c>
      <x:c r="AC5" s="26" t="n">
        <x:f>IF($U5="","",IF($U5&gt;=0.11,20,IF($U5&gt;=0.09,12,IF($U5&gt;=0.075,6,0))))</x:f>
        <x:v>0</x:v>
      </x:c>
      <x:c r="AD5" s="26" t="n">
        <x:f>IF($H5="","",ROUND(($R5*0.25)+($S5*0.20)+($Y5*0.25)+((100-$Z5-$AA5-$AB5-$AC5)*0.30),1))</x:f>
        <x:v>85.9</x:v>
      </x:c>
      <x:c r="AE5" s="2" t="str">
        <x:f>IF($AD5="","",IF($O5="Yes","SKIP - title issue",IF($X5&gt;Inputs!$B$5,"OVER BUDGET",IF($AD5&gt;=82,"BUY",IF($AD5&gt;=70,"MAYBE","SKIP")))))</x:f>
        <x:v>BUY</x:v>
      </x:c>
      <x:c r="AF5" s="2" t="str">
        <x:v>Example row. Replace with real VIN/listing.</x:v>
      </x:c>
    </x:row>
    <x:row r="6">
      <x:c r="A6" s="2" t="n">
        <x:f>IF($AD6="","",COUNTIF($AD$2:$AD$101,"&gt;"&amp;$AD6)+COUNTIFS($AD$2:$AD6,$AD6))</x:f>
        <x:v>4</x:v>
      </x:c>
      <x:c r="B6" s="2" t="str"/>
      <x:c r="C6" s="2" t="n">
        <x:v>2016</x:v>
      </x:c>
      <x:c r="D6" s="2" t="str">
        <x:v>Honda</x:v>
      </x:c>
      <x:c r="E6" s="2" t="str">
        <x:v>Fit</x:v>
      </x:c>
      <x:c r="F6" s="2" t="str">
        <x:v>EX</x:v>
      </x:c>
      <x:c r="G6" s="2" t="str">
        <x:v>Hatchback</x:v>
      </x:c>
      <x:c r="H6" s="20" t="n">
        <x:v>17000</x:v>
      </x:c>
      <x:c r="I6" s="22" t="n">
        <x:v>70000</x:v>
      </x:c>
      <x:c r="J6" s="22" t="n">
        <x:v>52.7</x:v>
      </x:c>
      <x:c r="K6" s="2" t="n">
        <x:v>0</x:v>
      </x:c>
      <x:c r="L6" s="2" t="n">
        <x:v>2</x:v>
      </x:c>
      <x:c r="M6" s="2" t="str">
        <x:v>No</x:v>
      </x:c>
      <x:c r="N6" s="2" t="str">
        <x:v>No</x:v>
      </x:c>
      <x:c r="O6" s="2" t="str">
        <x:v>No</x:v>
      </x:c>
      <x:c r="P6" s="2" t="str">
        <x:v>Yes</x:v>
      </x:c>
      <x:c r="Q6" s="2" t="str">
        <x:v>Honda Fit</x:v>
      </x:c>
      <x:c r="R6" s="2" t="n">
        <x:f>IFERROR(VLOOKUP($Q6,'Model Scores'!$A$2:$D$100,2,FALSE),70)</x:f>
        <x:v>86</x:v>
      </x:c>
      <x:c r="S6" s="2" t="n">
        <x:f>IFERROR(VLOOKUP($Q6,'Model Scores'!$A$2:$D$100,3,FALSE),60)</x:f>
        <x:v>82</x:v>
      </x:c>
      <x:c r="T6" s="2" t="n">
        <x:f>IF($C6="","",Inputs!$B$12-$C6)</x:f>
        <x:v>10</x:v>
      </x:c>
      <x:c r="U6" s="24" t="n">
        <x:f>IF($H6="","",Inputs!$B$7+IF($C6&lt;=2016,Inputs!$B$8,0)+IF($I6&gt;100000,Inputs!$B$9,0)+IF($I6&gt;120000,Inputs!$B$10,0)+IF($I6&gt;150000,Inputs!$B$11,0))</x:f>
        <x:v>0.08</x:v>
      </x:c>
      <x:c r="V6" s="20" t="n">
        <x:f>IF($H6="","",$H6*(1+Inputs!$B$3)+Inputs!$B$4)</x:f>
        <x:v>19137.5</x:v>
      </x:c>
      <x:c r="W6" s="20" t="n">
        <x:f>IF($V6="","",MAX(0,$V6-Inputs!$B$2))</x:f>
        <x:v>14137.5</x:v>
      </x:c>
      <x:c r="X6" s="20" t="n">
        <x:f>IF($W6="","",IF($U6=0,$W6/Inputs!$B$6,PMT($U6/12,Inputs!$B$6,-$W6)))</x:f>
        <x:v>247.87618915148258</x:v>
      </x:c>
      <x:c r="Y6" s="26" t="n">
        <x:f>IF($X6="","",MAX(0,100-(MAX(0,$X6-Inputs!$B$5)*Inputs!$B$14)))</x:f>
        <x:v>100</x:v>
      </x:c>
      <x:c r="Z6" s="26" t="n">
        <x:f>IF($I6="","",IF($I6&lt;=60000,0,IF($I6&lt;=90000,5,IF($I6&lt;=110000,12,IF($I6&lt;=130000,22,IF($I6&lt;=150000,35,50))))))</x:f>
        <x:v>5</x:v>
      </x:c>
      <x:c r="AA6" s="26" t="n">
        <x:f>IF($T6="","",IF($T6&lt;=5,0,IF($T6&lt;=8,5,IF($T6&lt;=10,12,IF($T6&lt;=12,20,35)))))</x:f>
        <x:v>12</x:v>
      </x:c>
      <x:c r="AB6" s="26" t="n">
        <x:f>IF($J6="","",($K6*18)+IF($L6&gt;=3,10,IF($L6=2,3,0))+IF($M6="Yes",5,0)+IF($N6="Yes",15,0)+IF($O6="Yes",50,0))</x:f>
        <x:v>3</x:v>
      </x:c>
      <x:c r="AC6" s="26" t="n">
        <x:f>IF($U6="","",IF($U6&gt;=0.11,20,IF($U6&gt;=0.09,12,IF($U6&gt;=0.075,6,0))))</x:f>
        <x:v>6</x:v>
      </x:c>
      <x:c r="AD6" s="26" t="n">
        <x:f>IF($H6="","",ROUND(($R6*0.25)+($S6*0.20)+($Y6*0.25)+((100-$Z6-$AA6-$AB6-$AC6)*0.30),1))</x:f>
        <x:v>85.1</x:v>
      </x:c>
      <x:c r="AE6" s="2" t="str">
        <x:f>IF($AD6="","",IF($O6="Yes","SKIP - title issue",IF($X6&gt;Inputs!$B$5,"OVER BUDGET",IF($AD6&gt;=82,"BUY",IF($AD6&gt;=70,"MAYBE","SKIP")))))</x:f>
        <x:v>BUY</x:v>
      </x:c>
      <x:c r="AF6" s="2" t="str">
        <x:v>Example row. Great cargo for size.</x:v>
      </x:c>
    </x:row>
    <x:row r="7">
      <x:c r="A7" s="2" t="n">
        <x:f>IF($AD7="","",COUNTIF($AD$2:$AD$101,"&gt;"&amp;$AD7)+COUNTIFS($AD$2:$AD7,$AD7))</x:f>
        <x:v>1</x:v>
      </x:c>
      <x:c r="B7" s="2" t="str"/>
      <x:c r="C7" s="2" t="n">
        <x:v>2018</x:v>
      </x:c>
      <x:c r="D7" s="2" t="str">
        <x:v>Mazda</x:v>
      </x:c>
      <x:c r="E7" s="2" t="str">
        <x:v>CX-5</x:v>
      </x:c>
      <x:c r="F7" s="2" t="str">
        <x:v>Sport</x:v>
      </x:c>
      <x:c r="G7" s="2" t="str">
        <x:v>SUV</x:v>
      </x:c>
      <x:c r="H7" s="20" t="n">
        <x:v>19000</x:v>
      </x:c>
      <x:c r="I7" s="22" t="n">
        <x:v>86000</x:v>
      </x:c>
      <x:c r="J7" s="22" t="n">
        <x:v>59.6</x:v>
      </x:c>
      <x:c r="K7" s="2" t="n">
        <x:v>0</x:v>
      </x:c>
      <x:c r="L7" s="2" t="n">
        <x:v>2</x:v>
      </x:c>
      <x:c r="M7" s="2" t="str">
        <x:v>No</x:v>
      </x:c>
      <x:c r="N7" s="2" t="str">
        <x:v>No</x:v>
      </x:c>
      <x:c r="O7" s="2" t="str">
        <x:v>No</x:v>
      </x:c>
      <x:c r="P7" s="2" t="str">
        <x:v>Yes</x:v>
      </x:c>
      <x:c r="Q7" s="2" t="str">
        <x:v>Mazda CX-5</x:v>
      </x:c>
      <x:c r="R7" s="2" t="n">
        <x:f>IFERROR(VLOOKUP($Q7,'Model Scores'!$A$2:$D$100,2,FALSE),70)</x:f>
        <x:v>84</x:v>
      </x:c>
      <x:c r="S7" s="2" t="n">
        <x:f>IFERROR(VLOOKUP($Q7,'Model Scores'!$A$2:$D$100,3,FALSE),60)</x:f>
        <x:v>82</x:v>
      </x:c>
      <x:c r="T7" s="2" t="n">
        <x:f>IF($C7="","",Inputs!$B$12-$C7)</x:f>
        <x:v>8</x:v>
      </x:c>
      <x:c r="U7" s="24" t="n">
        <x:f>IF($H7="","",Inputs!$B$7+IF($C7&lt;=2016,Inputs!$B$8,0)+IF($I7&gt;100000,Inputs!$B$9,0)+IF($I7&gt;120000,Inputs!$B$10,0)+IF($I7&gt;150000,Inputs!$B$11,0))</x:f>
        <x:v>0.065</x:v>
      </x:c>
      <x:c r="V7" s="20" t="n">
        <x:f>IF($H7="","",$H7*(1+Inputs!$B$3)+Inputs!$B$4)</x:f>
        <x:v>21312.5</x:v>
      </x:c>
      <x:c r="W7" s="20" t="n">
        <x:f>IF($V7="","",MAX(0,$V7-Inputs!$B$2))</x:f>
        <x:v>16312.5</x:v>
      </x:c>
      <x:c r="X7" s="20" t="n">
        <x:f>IF($W7="","",IF($U7=0,$W7/Inputs!$B$6,PMT($U7/12,Inputs!$B$6,-$W7)))</x:f>
        <x:v>274.2119769879481</x:v>
      </x:c>
      <x:c r="Y7" s="26" t="n">
        <x:f>IF($X7="","",MAX(0,100-(MAX(0,$X7-Inputs!$B$5)*Inputs!$B$14)))</x:f>
        <x:v>100</x:v>
      </x:c>
      <x:c r="Z7" s="26" t="n">
        <x:f>IF($I7="","",IF($I7&lt;=60000,0,IF($I7&lt;=90000,5,IF($I7&lt;=110000,12,IF($I7&lt;=130000,22,IF($I7&lt;=150000,35,50))))))</x:f>
        <x:v>5</x:v>
      </x:c>
      <x:c r="AA7" s="26" t="n">
        <x:f>IF($T7="","",IF($T7&lt;=5,0,IF($T7&lt;=8,5,IF($T7&lt;=10,12,IF($T7&lt;=12,20,35)))))</x:f>
        <x:v>5</x:v>
      </x:c>
      <x:c r="AB7" s="26" t="n">
        <x:f>IF($J7="","",($K7*18)+IF($L7&gt;=3,10,IF($L7=2,3,0))+IF($M7="Yes",5,0)+IF($N7="Yes",15,0)+IF($O7="Yes",50,0))</x:f>
        <x:v>3</x:v>
      </x:c>
      <x:c r="AC7" s="26" t="n">
        <x:f>IF($U7="","",IF($U7&gt;=0.11,20,IF($U7&gt;=0.09,12,IF($U7&gt;=0.075,6,0))))</x:f>
        <x:v>0</x:v>
      </x:c>
      <x:c r="AD7" s="26" t="n">
        <x:f>IF($H7="","",ROUND(($R7*0.25)+($S7*0.20)+($Y7*0.25)+((100-$Z7-$AA7-$AB7-$AC7)*0.30),1))</x:f>
        <x:v>88.5</x:v>
      </x:c>
      <x:c r="AE7" s="2" t="str">
        <x:f>IF($AD7="","",IF($O7="Yes","SKIP - title issue",IF($X7&gt;Inputs!$B$5,"OVER BUDGET",IF($AD7&gt;=82,"BUY",IF($AD7&gt;=70,"MAYBE","SKIP")))))</x:f>
        <x:v>BUY</x:v>
      </x:c>
      <x:c r="AF7" s="2" t="str">
        <x:v>Example row. Replace with real listing.</x:v>
      </x:c>
    </x:row>
    <x:row r="8">
      <x:c r="A8" s="2" t="str">
        <x:f>IF($AD8="","",COUNTIF($AD$2:$AD$101,"&gt;"&amp;$AD8)+COUNTIFS($AD$2:$AD8,$AD8))</x:f>
      </x:c>
      <x:c r="B8" s="2"/>
      <x:c r="C8" s="2"/>
      <x:c r="D8" s="2"/>
      <x:c r="E8" s="2"/>
      <x:c r="F8" s="2"/>
      <x:c r="G8" s="2"/>
      <x:c r="H8" s="20"/>
      <x:c r="I8" s="22"/>
      <x:c r="J8" s="22"/>
      <x:c r="K8" s="2"/>
      <x:c r="L8" s="2"/>
      <x:c r="M8" s="2"/>
      <x:c r="N8" s="2"/>
      <x:c r="O8" s="2"/>
      <x:c r="P8" s="2"/>
      <x:c r="Q8" s="2"/>
      <x:c r="R8" s="2" t="str">
        <x:f>IFERROR(VLOOKUP($Q8,'Model Scores'!$A$2:$D$100,2,FALSE),70)</x:f>
      </x:c>
      <x:c r="S8" s="2" t="str">
        <x:f>IFERROR(VLOOKUP($Q8,'Model Scores'!$A$2:$D$100,3,FALSE),60)</x:f>
      </x:c>
      <x:c r="T8" s="2" t="str">
        <x:f>IF($C8="","",Inputs!$B$12-$C8)</x:f>
      </x:c>
      <x:c r="U8" s="24" t="str">
        <x:f>IF($H8="","",Inputs!$B$7+IF($C8&lt;=2016,Inputs!$B$8,0)+IF($I8&gt;100000,Inputs!$B$9,0)+IF($I8&gt;120000,Inputs!$B$10,0)+IF($I8&gt;150000,Inputs!$B$11,0))</x:f>
      </x:c>
      <x:c r="V8" s="20" t="str">
        <x:f>IF($H8="","",$H8*(1+Inputs!$B$3)+Inputs!$B$4)</x:f>
      </x:c>
      <x:c r="W8" s="20" t="str">
        <x:f>IF($V8="","",MAX(0,$V8-Inputs!$B$2))</x:f>
      </x:c>
      <x:c r="X8" s="20" t="str">
        <x:f>IF($W8="","",IF($U8=0,$W8/Inputs!$B$6,PMT($U8/12,Inputs!$B$6,-$W8)))</x:f>
      </x:c>
      <x:c r="Y8" s="26" t="str">
        <x:f>IF($X8="","",MAX(0,100-(MAX(0,$X8-Inputs!$B$5)*Inputs!$B$14)))</x:f>
      </x:c>
      <x:c r="Z8" s="26" t="str">
        <x:f>IF($I8="","",IF($I8&lt;=60000,0,IF($I8&lt;=90000,5,IF($I8&lt;=110000,12,IF($I8&lt;=130000,22,IF($I8&lt;=150000,35,50))))))</x:f>
      </x:c>
      <x:c r="AA8" s="26" t="str">
        <x:f>IF($T8="","",IF($T8&lt;=5,0,IF($T8&lt;=8,5,IF($T8&lt;=10,12,IF($T8&lt;=12,20,35)))))</x:f>
      </x:c>
      <x:c r="AB8" s="26" t="str">
        <x:f>IF($J8="","",($K8*18)+IF($L8&gt;=3,10,IF($L8=2,3,0))+IF($M8="Yes",5,0)+IF($N8="Yes",15,0)+IF($O8="Yes",50,0))</x:f>
      </x:c>
      <x:c r="AC8" s="26" t="str">
        <x:f>IF($U8="","",IF($U8&gt;=0.11,20,IF($U8&gt;=0.09,12,IF($U8&gt;=0.075,6,0))))</x:f>
      </x:c>
      <x:c r="AD8" s="26" t="str">
        <x:f>IF($H8="","",ROUND(($R8*0.25)+($S8*0.20)+($Y8*0.25)+((100-$Z8-$AA8-$AB8-$AC8)*0.30),1))</x:f>
      </x:c>
      <x:c r="AE8" s="2" t="str">
        <x:f>IF($AD8="","",IF($O8="Yes","SKIP - title issue",IF($X8&gt;Inputs!$B$5,"OVER BUDGET",IF($AD8&gt;=82,"BUY",IF($AD8&gt;=70,"MAYBE","SKIP")))))</x:f>
      </x:c>
      <x:c r="AF8" s="2"/>
    </x:row>
    <x:row r="9">
      <x:c r="A9" s="2" t="str">
        <x:f>IF($AD9="","",COUNTIF($AD$2:$AD$101,"&gt;"&amp;$AD9)+COUNTIFS($AD$2:$AD9,$AD9))</x:f>
      </x:c>
      <x:c r="B9" s="2"/>
      <x:c r="C9" s="2"/>
      <x:c r="D9" s="2"/>
      <x:c r="E9" s="2"/>
      <x:c r="F9" s="2"/>
      <x:c r="G9" s="2"/>
      <x:c r="H9" s="20"/>
      <x:c r="I9" s="22"/>
      <x:c r="J9" s="22"/>
      <x:c r="K9" s="2"/>
      <x:c r="L9" s="2"/>
      <x:c r="M9" s="2"/>
      <x:c r="N9" s="2"/>
      <x:c r="O9" s="2"/>
      <x:c r="P9" s="2"/>
      <x:c r="Q9" s="2"/>
      <x:c r="R9" s="2" t="str">
        <x:f>IFERROR(VLOOKUP($Q9,'Model Scores'!$A$2:$D$100,2,FALSE),70)</x:f>
      </x:c>
      <x:c r="S9" s="2" t="str">
        <x:f>IFERROR(VLOOKUP($Q9,'Model Scores'!$A$2:$D$100,3,FALSE),60)</x:f>
      </x:c>
      <x:c r="T9" s="2" t="str">
        <x:f>IF($C9="","",Inputs!$B$12-$C9)</x:f>
      </x:c>
      <x:c r="U9" s="24" t="str">
        <x:f>IF($H9="","",Inputs!$B$7+IF($C9&lt;=2016,Inputs!$B$8,0)+IF($I9&gt;100000,Inputs!$B$9,0)+IF($I9&gt;120000,Inputs!$B$10,0)+IF($I9&gt;150000,Inputs!$B$11,0))</x:f>
      </x:c>
      <x:c r="V9" s="20" t="str">
        <x:f>IF($H9="","",$H9*(1+Inputs!$B$3)+Inputs!$B$4)</x:f>
      </x:c>
      <x:c r="W9" s="20" t="str">
        <x:f>IF($V9="","",MAX(0,$V9-Inputs!$B$2))</x:f>
      </x:c>
      <x:c r="X9" s="20" t="str">
        <x:f>IF($W9="","",IF($U9=0,$W9/Inputs!$B$6,PMT($U9/12,Inputs!$B$6,-$W9)))</x:f>
      </x:c>
      <x:c r="Y9" s="26" t="str">
        <x:f>IF($X9="","",MAX(0,100-(MAX(0,$X9-Inputs!$B$5)*Inputs!$B$14)))</x:f>
      </x:c>
      <x:c r="Z9" s="26" t="str">
        <x:f>IF($I9="","",IF($I9&lt;=60000,0,IF($I9&lt;=90000,5,IF($I9&lt;=110000,12,IF($I9&lt;=130000,22,IF($I9&lt;=150000,35,50))))))</x:f>
      </x:c>
      <x:c r="AA9" s="26" t="str">
        <x:f>IF($T9="","",IF($T9&lt;=5,0,IF($T9&lt;=8,5,IF($T9&lt;=10,12,IF($T9&lt;=12,20,35)))))</x:f>
      </x:c>
      <x:c r="AB9" s="26" t="str">
        <x:f>IF($J9="","",($K9*18)+IF($L9&gt;=3,10,IF($L9=2,3,0))+IF($M9="Yes",5,0)+IF($N9="Yes",15,0)+IF($O9="Yes",50,0))</x:f>
      </x:c>
      <x:c r="AC9" s="26" t="str">
        <x:f>IF($U9="","",IF($U9&gt;=0.11,20,IF($U9&gt;=0.09,12,IF($U9&gt;=0.075,6,0))))</x:f>
      </x:c>
      <x:c r="AD9" s="26" t="str">
        <x:f>IF($H9="","",ROUND(($R9*0.25)+($S9*0.20)+($Y9*0.25)+((100-$Z9-$AA9-$AB9-$AC9)*0.30),1))</x:f>
      </x:c>
      <x:c r="AE9" s="2" t="str">
        <x:f>IF($AD9="","",IF($O9="Yes","SKIP - title issue",IF($X9&gt;Inputs!$B$5,"OVER BUDGET",IF($AD9&gt;=82,"BUY",IF($AD9&gt;=70,"MAYBE","SKIP")))))</x:f>
      </x:c>
      <x:c r="AF9" s="2"/>
    </x:row>
    <x:row r="10">
      <x:c r="A10" s="2" t="str">
        <x:f>IF($AD10="","",COUNTIF($AD$2:$AD$101,"&gt;"&amp;$AD10)+COUNTIFS($AD$2:$AD10,$AD10))</x:f>
      </x:c>
      <x:c r="B10" s="2"/>
      <x:c r="C10" s="2"/>
      <x:c r="D10" s="2"/>
      <x:c r="E10" s="2"/>
      <x:c r="F10" s="2"/>
      <x:c r="G10" s="2"/>
      <x:c r="H10" s="20"/>
      <x:c r="I10" s="22"/>
      <x:c r="J10" s="22"/>
      <x:c r="K10" s="2"/>
      <x:c r="L10" s="2"/>
      <x:c r="M10" s="2"/>
      <x:c r="N10" s="2"/>
      <x:c r="O10" s="2"/>
      <x:c r="P10" s="2"/>
      <x:c r="Q10" s="2"/>
      <x:c r="R10" s="2" t="str">
        <x:f>IFERROR(VLOOKUP($Q10,'Model Scores'!$A$2:$D$100,2,FALSE),70)</x:f>
      </x:c>
      <x:c r="S10" s="2" t="str">
        <x:f>IFERROR(VLOOKUP($Q10,'Model Scores'!$A$2:$D$100,3,FALSE),60)</x:f>
      </x:c>
      <x:c r="T10" s="2" t="str">
        <x:f>IF($C10="","",Inputs!$B$12-$C10)</x:f>
      </x:c>
      <x:c r="U10" s="24" t="str">
        <x:f>IF($H10="","",Inputs!$B$7+IF($C10&lt;=2016,Inputs!$B$8,0)+IF($I10&gt;100000,Inputs!$B$9,0)+IF($I10&gt;120000,Inputs!$B$10,0)+IF($I10&gt;150000,Inputs!$B$11,0))</x:f>
      </x:c>
      <x:c r="V10" s="20" t="str">
        <x:f>IF($H10="","",$H10*(1+Inputs!$B$3)+Inputs!$B$4)</x:f>
      </x:c>
      <x:c r="W10" s="20" t="str">
        <x:f>IF($V10="","",MAX(0,$V10-Inputs!$B$2))</x:f>
      </x:c>
      <x:c r="X10" s="20" t="str">
        <x:f>IF($W10="","",IF($U10=0,$W10/Inputs!$B$6,PMT($U10/12,Inputs!$B$6,-$W10)))</x:f>
      </x:c>
      <x:c r="Y10" s="26" t="str">
        <x:f>IF($X10="","",MAX(0,100-(MAX(0,$X10-Inputs!$B$5)*Inputs!$B$14)))</x:f>
      </x:c>
      <x:c r="Z10" s="26" t="str">
        <x:f>IF($I10="","",IF($I10&lt;=60000,0,IF($I10&lt;=90000,5,IF($I10&lt;=110000,12,IF($I10&lt;=130000,22,IF($I10&lt;=150000,35,50))))))</x:f>
      </x:c>
      <x:c r="AA10" s="26" t="str">
        <x:f>IF($T10="","",IF($T10&lt;=5,0,IF($T10&lt;=8,5,IF($T10&lt;=10,12,IF($T10&lt;=12,20,35)))))</x:f>
      </x:c>
      <x:c r="AB10" s="26" t="str">
        <x:f>IF($J10="","",($K10*18)+IF($L10&gt;=3,10,IF($L10=2,3,0))+IF($M10="Yes",5,0)+IF($N10="Yes",15,0)+IF($O10="Yes",50,0))</x:f>
      </x:c>
      <x:c r="AC10" s="26" t="str">
        <x:f>IF($U10="","",IF($U10&gt;=0.11,20,IF($U10&gt;=0.09,12,IF($U10&gt;=0.075,6,0))))</x:f>
      </x:c>
      <x:c r="AD10" s="26" t="str">
        <x:f>IF($H10="","",ROUND(($R10*0.25)+($S10*0.20)+($Y10*0.25)+((100-$Z10-$AA10-$AB10-$AC10)*0.30),1))</x:f>
      </x:c>
      <x:c r="AE10" s="2" t="str">
        <x:f>IF($AD10="","",IF($O10="Yes","SKIP - title issue",IF($X10&gt;Inputs!$B$5,"OVER BUDGET",IF($AD10&gt;=82,"BUY",IF($AD10&gt;=70,"MAYBE","SKIP")))))</x:f>
      </x:c>
      <x:c r="AF10" s="2"/>
    </x:row>
    <x:row r="11">
      <x:c r="A11" s="2" t="str">
        <x:f>IF($AD11="","",COUNTIF($AD$2:$AD$101,"&gt;"&amp;$AD11)+COUNTIFS($AD$2:$AD11,$AD11))</x:f>
      </x:c>
      <x:c r="B11" s="2"/>
      <x:c r="C11" s="2"/>
      <x:c r="D11" s="2"/>
      <x:c r="E11" s="2"/>
      <x:c r="F11" s="2"/>
      <x:c r="G11" s="2"/>
      <x:c r="H11" s="20"/>
      <x:c r="I11" s="22"/>
      <x:c r="J11" s="22"/>
      <x:c r="K11" s="2"/>
      <x:c r="L11" s="2"/>
      <x:c r="M11" s="2"/>
      <x:c r="N11" s="2"/>
      <x:c r="O11" s="2"/>
      <x:c r="P11" s="2"/>
      <x:c r="Q11" s="2"/>
      <x:c r="R11" s="2" t="str">
        <x:f>IFERROR(VLOOKUP($Q11,'Model Scores'!$A$2:$D$100,2,FALSE),70)</x:f>
      </x:c>
      <x:c r="S11" s="2" t="str">
        <x:f>IFERROR(VLOOKUP($Q11,'Model Scores'!$A$2:$D$100,3,FALSE),60)</x:f>
      </x:c>
      <x:c r="T11" s="2" t="str">
        <x:f>IF($C11="","",Inputs!$B$12-$C11)</x:f>
      </x:c>
      <x:c r="U11" s="24" t="str">
        <x:f>IF($H11="","",Inputs!$B$7+IF($C11&lt;=2016,Inputs!$B$8,0)+IF($I11&gt;100000,Inputs!$B$9,0)+IF($I11&gt;120000,Inputs!$B$10,0)+IF($I11&gt;150000,Inputs!$B$11,0))</x:f>
      </x:c>
      <x:c r="V11" s="20" t="str">
        <x:f>IF($H11="","",$H11*(1+Inputs!$B$3)+Inputs!$B$4)</x:f>
      </x:c>
      <x:c r="W11" s="20" t="str">
        <x:f>IF($V11="","",MAX(0,$V11-Inputs!$B$2))</x:f>
      </x:c>
      <x:c r="X11" s="20" t="str">
        <x:f>IF($W11="","",IF($U11=0,$W11/Inputs!$B$6,PMT($U11/12,Inputs!$B$6,-$W11)))</x:f>
      </x:c>
      <x:c r="Y11" s="26" t="str">
        <x:f>IF($X11="","",MAX(0,100-(MAX(0,$X11-Inputs!$B$5)*Inputs!$B$14)))</x:f>
      </x:c>
      <x:c r="Z11" s="26" t="str">
        <x:f>IF($I11="","",IF($I11&lt;=60000,0,IF($I11&lt;=90000,5,IF($I11&lt;=110000,12,IF($I11&lt;=130000,22,IF($I11&lt;=150000,35,50))))))</x:f>
      </x:c>
      <x:c r="AA11" s="26" t="str">
        <x:f>IF($T11="","",IF($T11&lt;=5,0,IF($T11&lt;=8,5,IF($T11&lt;=10,12,IF($T11&lt;=12,20,35)))))</x:f>
      </x:c>
      <x:c r="AB11" s="26" t="str">
        <x:f>IF($J11="","",($K11*18)+IF($L11&gt;=3,10,IF($L11=2,3,0))+IF($M11="Yes",5,0)+IF($N11="Yes",15,0)+IF($O11="Yes",50,0))</x:f>
      </x:c>
      <x:c r="AC11" s="26" t="str">
        <x:f>IF($U11="","",IF($U11&gt;=0.11,20,IF($U11&gt;=0.09,12,IF($U11&gt;=0.075,6,0))))</x:f>
      </x:c>
      <x:c r="AD11" s="26" t="str">
        <x:f>IF($H11="","",ROUND(($R11*0.25)+($S11*0.20)+($Y11*0.25)+((100-$Z11-$AA11-$AB11-$AC11)*0.30),1))</x:f>
      </x:c>
      <x:c r="AE11" s="2" t="str">
        <x:f>IF($AD11="","",IF($O11="Yes","SKIP - title issue",IF($X11&gt;Inputs!$B$5,"OVER BUDGET",IF($AD11&gt;=82,"BUY",IF($AD11&gt;=70,"MAYBE","SKIP")))))</x:f>
      </x:c>
      <x:c r="AF11" s="2"/>
    </x:row>
    <x:row r="12">
      <x:c r="A12" s="2" t="str">
        <x:f>IF($AD12="","",COUNTIF($AD$2:$AD$101,"&gt;"&amp;$AD12)+COUNTIFS($AD$2:$AD12,$AD12))</x:f>
      </x:c>
      <x:c r="B12" s="2"/>
      <x:c r="C12" s="2"/>
      <x:c r="D12" s="2"/>
      <x:c r="E12" s="2"/>
      <x:c r="F12" s="2"/>
      <x:c r="G12" s="2"/>
      <x:c r="H12" s="20"/>
      <x:c r="I12" s="22"/>
      <x:c r="J12" s="22"/>
      <x:c r="K12" s="2"/>
      <x:c r="L12" s="2"/>
      <x:c r="M12" s="2"/>
      <x:c r="N12" s="2"/>
      <x:c r="O12" s="2"/>
      <x:c r="P12" s="2"/>
      <x:c r="Q12" s="2"/>
      <x:c r="R12" s="2" t="str">
        <x:f>IFERROR(VLOOKUP($Q12,'Model Scores'!$A$2:$D$100,2,FALSE),70)</x:f>
      </x:c>
      <x:c r="S12" s="2" t="str">
        <x:f>IFERROR(VLOOKUP($Q12,'Model Scores'!$A$2:$D$100,3,FALSE),60)</x:f>
      </x:c>
      <x:c r="T12" s="2" t="str">
        <x:f>IF($C12="","",Inputs!$B$12-$C12)</x:f>
      </x:c>
      <x:c r="U12" s="24" t="str">
        <x:f>IF($H12="","",Inputs!$B$7+IF($C12&lt;=2016,Inputs!$B$8,0)+IF($I12&gt;100000,Inputs!$B$9,0)+IF($I12&gt;120000,Inputs!$B$10,0)+IF($I12&gt;150000,Inputs!$B$11,0))</x:f>
      </x:c>
      <x:c r="V12" s="20" t="str">
        <x:f>IF($H12="","",$H12*(1+Inputs!$B$3)+Inputs!$B$4)</x:f>
      </x:c>
      <x:c r="W12" s="20" t="str">
        <x:f>IF($V12="","",MAX(0,$V12-Inputs!$B$2))</x:f>
      </x:c>
      <x:c r="X12" s="20" t="str">
        <x:f>IF($W12="","",IF($U12=0,$W12/Inputs!$B$6,PMT($U12/12,Inputs!$B$6,-$W12)))</x:f>
      </x:c>
      <x:c r="Y12" s="26" t="str">
        <x:f>IF($X12="","",MAX(0,100-(MAX(0,$X12-Inputs!$B$5)*Inputs!$B$14)))</x:f>
      </x:c>
      <x:c r="Z12" s="26" t="str">
        <x:f>IF($I12="","",IF($I12&lt;=60000,0,IF($I12&lt;=90000,5,IF($I12&lt;=110000,12,IF($I12&lt;=130000,22,IF($I12&lt;=150000,35,50))))))</x:f>
      </x:c>
      <x:c r="AA12" s="26" t="str">
        <x:f>IF($T12="","",IF($T12&lt;=5,0,IF($T12&lt;=8,5,IF($T12&lt;=10,12,IF($T12&lt;=12,20,35)))))</x:f>
      </x:c>
      <x:c r="AB12" s="26" t="str">
        <x:f>IF($J12="","",($K12*18)+IF($L12&gt;=3,10,IF($L12=2,3,0))+IF($M12="Yes",5,0)+IF($N12="Yes",15,0)+IF($O12="Yes",50,0))</x:f>
      </x:c>
      <x:c r="AC12" s="26" t="str">
        <x:f>IF($U12="","",IF($U12&gt;=0.11,20,IF($U12&gt;=0.09,12,IF($U12&gt;=0.075,6,0))))</x:f>
      </x:c>
      <x:c r="AD12" s="26" t="str">
        <x:f>IF($H12="","",ROUND(($R12*0.25)+($S12*0.20)+($Y12*0.25)+((100-$Z12-$AA12-$AB12-$AC12)*0.30),1))</x:f>
      </x:c>
      <x:c r="AE12" s="2" t="str">
        <x:f>IF($AD12="","",IF($O12="Yes","SKIP - title issue",IF($X12&gt;Inputs!$B$5,"OVER BUDGET",IF($AD12&gt;=82,"BUY",IF($AD12&gt;=70,"MAYBE","SKIP")))))</x:f>
      </x:c>
      <x:c r="AF12" s="2"/>
    </x:row>
    <x:row r="13">
      <x:c r="A13" s="2" t="str">
        <x:f>IF($AD13="","",COUNTIF($AD$2:$AD$101,"&gt;"&amp;$AD13)+COUNTIFS($AD$2:$AD13,$AD13))</x:f>
      </x:c>
      <x:c r="B13" s="2"/>
      <x:c r="C13" s="2"/>
      <x:c r="D13" s="2"/>
      <x:c r="E13" s="2"/>
      <x:c r="F13" s="2"/>
      <x:c r="G13" s="2"/>
      <x:c r="H13" s="20"/>
      <x:c r="I13" s="22"/>
      <x:c r="J13" s="22"/>
      <x:c r="K13" s="2"/>
      <x:c r="L13" s="2"/>
      <x:c r="M13" s="2"/>
      <x:c r="N13" s="2"/>
      <x:c r="O13" s="2"/>
      <x:c r="P13" s="2"/>
      <x:c r="Q13" s="2"/>
      <x:c r="R13" s="2" t="str">
        <x:f>IFERROR(VLOOKUP($Q13,'Model Scores'!$A$2:$D$100,2,FALSE),70)</x:f>
      </x:c>
      <x:c r="S13" s="2" t="str">
        <x:f>IFERROR(VLOOKUP($Q13,'Model Scores'!$A$2:$D$100,3,FALSE),60)</x:f>
      </x:c>
      <x:c r="T13" s="2" t="str">
        <x:f>IF($C13="","",Inputs!$B$12-$C13)</x:f>
      </x:c>
      <x:c r="U13" s="24" t="str">
        <x:f>IF($H13="","",Inputs!$B$7+IF($C13&lt;=2016,Inputs!$B$8,0)+IF($I13&gt;100000,Inputs!$B$9,0)+IF($I13&gt;120000,Inputs!$B$10,0)+IF($I13&gt;150000,Inputs!$B$11,0))</x:f>
      </x:c>
      <x:c r="V13" s="20" t="str">
        <x:f>IF($H13="","",$H13*(1+Inputs!$B$3)+Inputs!$B$4)</x:f>
      </x:c>
      <x:c r="W13" s="20" t="str">
        <x:f>IF($V13="","",MAX(0,$V13-Inputs!$B$2))</x:f>
      </x:c>
      <x:c r="X13" s="20" t="str">
        <x:f>IF($W13="","",IF($U13=0,$W13/Inputs!$B$6,PMT($U13/12,Inputs!$B$6,-$W13)))</x:f>
      </x:c>
      <x:c r="Y13" s="26" t="str">
        <x:f>IF($X13="","",MAX(0,100-(MAX(0,$X13-Inputs!$B$5)*Inputs!$B$14)))</x:f>
      </x:c>
      <x:c r="Z13" s="26" t="str">
        <x:f>IF($I13="","",IF($I13&lt;=60000,0,IF($I13&lt;=90000,5,IF($I13&lt;=110000,12,IF($I13&lt;=130000,22,IF($I13&lt;=150000,35,50))))))</x:f>
      </x:c>
      <x:c r="AA13" s="26" t="str">
        <x:f>IF($T13="","",IF($T13&lt;=5,0,IF($T13&lt;=8,5,IF($T13&lt;=10,12,IF($T13&lt;=12,20,35)))))</x:f>
      </x:c>
      <x:c r="AB13" s="26" t="str">
        <x:f>IF($J13="","",($K13*18)+IF($L13&gt;=3,10,IF($L13=2,3,0))+IF($M13="Yes",5,0)+IF($N13="Yes",15,0)+IF($O13="Yes",50,0))</x:f>
      </x:c>
      <x:c r="AC13" s="26" t="str">
        <x:f>IF($U13="","",IF($U13&gt;=0.11,20,IF($U13&gt;=0.09,12,IF($U13&gt;=0.075,6,0))))</x:f>
      </x:c>
      <x:c r="AD13" s="26" t="str">
        <x:f>IF($H13="","",ROUND(($R13*0.25)+($S13*0.20)+($Y13*0.25)+((100-$Z13-$AA13-$AB13-$AC13)*0.30),1))</x:f>
      </x:c>
      <x:c r="AE13" s="2" t="str">
        <x:f>IF($AD13="","",IF($O13="Yes","SKIP - title issue",IF($X13&gt;Inputs!$B$5,"OVER BUDGET",IF($AD13&gt;=82,"BUY",IF($AD13&gt;=70,"MAYBE","SKIP")))))</x:f>
      </x:c>
      <x:c r="AF13" s="2"/>
    </x:row>
    <x:row r="14">
      <x:c r="A14" s="2" t="str">
        <x:f>IF($AD14="","",COUNTIF($AD$2:$AD$101,"&gt;"&amp;$AD14)+COUNTIFS($AD$2:$AD14,$AD14))</x:f>
      </x:c>
      <x:c r="B14" s="2"/>
      <x:c r="C14" s="2"/>
      <x:c r="D14" s="2"/>
      <x:c r="E14" s="2"/>
      <x:c r="F14" s="2"/>
      <x:c r="G14" s="2"/>
      <x:c r="H14" s="20"/>
      <x:c r="I14" s="22"/>
      <x:c r="J14" s="22"/>
      <x:c r="K14" s="2"/>
      <x:c r="L14" s="2"/>
      <x:c r="M14" s="2"/>
      <x:c r="N14" s="2"/>
      <x:c r="O14" s="2"/>
      <x:c r="P14" s="2"/>
      <x:c r="Q14" s="2"/>
      <x:c r="R14" s="2" t="str">
        <x:f>IFERROR(VLOOKUP($Q14,'Model Scores'!$A$2:$D$100,2,FALSE),70)</x:f>
      </x:c>
      <x:c r="S14" s="2" t="str">
        <x:f>IFERROR(VLOOKUP($Q14,'Model Scores'!$A$2:$D$100,3,FALSE),60)</x:f>
      </x:c>
      <x:c r="T14" s="2" t="str">
        <x:f>IF($C14="","",Inputs!$B$12-$C14)</x:f>
      </x:c>
      <x:c r="U14" s="24" t="str">
        <x:f>IF($H14="","",Inputs!$B$7+IF($C14&lt;=2016,Inputs!$B$8,0)+IF($I14&gt;100000,Inputs!$B$9,0)+IF($I14&gt;120000,Inputs!$B$10,0)+IF($I14&gt;150000,Inputs!$B$11,0))</x:f>
      </x:c>
      <x:c r="V14" s="20" t="str">
        <x:f>IF($H14="","",$H14*(1+Inputs!$B$3)+Inputs!$B$4)</x:f>
      </x:c>
      <x:c r="W14" s="20" t="str">
        <x:f>IF($V14="","",MAX(0,$V14-Inputs!$B$2))</x:f>
      </x:c>
      <x:c r="X14" s="20" t="str">
        <x:f>IF($W14="","",IF($U14=0,$W14/Inputs!$B$6,PMT($U14/12,Inputs!$B$6,-$W14)))</x:f>
      </x:c>
      <x:c r="Y14" s="26" t="str">
        <x:f>IF($X14="","",MAX(0,100-(MAX(0,$X14-Inputs!$B$5)*Inputs!$B$14)))</x:f>
      </x:c>
      <x:c r="Z14" s="26" t="str">
        <x:f>IF($I14="","",IF($I14&lt;=60000,0,IF($I14&lt;=90000,5,IF($I14&lt;=110000,12,IF($I14&lt;=130000,22,IF($I14&lt;=150000,35,50))))))</x:f>
      </x:c>
      <x:c r="AA14" s="26" t="str">
        <x:f>IF($T14="","",IF($T14&lt;=5,0,IF($T14&lt;=8,5,IF($T14&lt;=10,12,IF($T14&lt;=12,20,35)))))</x:f>
      </x:c>
      <x:c r="AB14" s="26" t="str">
        <x:f>IF($J14="","",($K14*18)+IF($L14&gt;=3,10,IF($L14=2,3,0))+IF($M14="Yes",5,0)+IF($N14="Yes",15,0)+IF($O14="Yes",50,0))</x:f>
      </x:c>
      <x:c r="AC14" s="26" t="str">
        <x:f>IF($U14="","",IF($U14&gt;=0.11,20,IF($U14&gt;=0.09,12,IF($U14&gt;=0.075,6,0))))</x:f>
      </x:c>
      <x:c r="AD14" s="26" t="str">
        <x:f>IF($H14="","",ROUND(($R14*0.25)+($S14*0.20)+($Y14*0.25)+((100-$Z14-$AA14-$AB14-$AC14)*0.30),1))</x:f>
      </x:c>
      <x:c r="AE14" s="2" t="str">
        <x:f>IF($AD14="","",IF($O14="Yes","SKIP - title issue",IF($X14&gt;Inputs!$B$5,"OVER BUDGET",IF($AD14&gt;=82,"BUY",IF($AD14&gt;=70,"MAYBE","SKIP")))))</x:f>
      </x:c>
      <x:c r="AF14" s="2"/>
    </x:row>
    <x:row r="15">
      <x:c r="A15" s="2" t="str">
        <x:f>IF($AD15="","",COUNTIF($AD$2:$AD$101,"&gt;"&amp;$AD15)+COUNTIFS($AD$2:$AD15,$AD15))</x:f>
      </x:c>
      <x:c r="B15" s="2"/>
      <x:c r="C15" s="2"/>
      <x:c r="D15" s="2"/>
      <x:c r="E15" s="2"/>
      <x:c r="F15" s="2"/>
      <x:c r="G15" s="2"/>
      <x:c r="H15" s="20"/>
      <x:c r="I15" s="22"/>
      <x:c r="J15" s="22"/>
      <x:c r="K15" s="2"/>
      <x:c r="L15" s="2"/>
      <x:c r="M15" s="2"/>
      <x:c r="N15" s="2"/>
      <x:c r="O15" s="2"/>
      <x:c r="P15" s="2"/>
      <x:c r="Q15" s="2"/>
      <x:c r="R15" s="2" t="str">
        <x:f>IFERROR(VLOOKUP($Q15,'Model Scores'!$A$2:$D$100,2,FALSE),70)</x:f>
      </x:c>
      <x:c r="S15" s="2" t="str">
        <x:f>IFERROR(VLOOKUP($Q15,'Model Scores'!$A$2:$D$100,3,FALSE),60)</x:f>
      </x:c>
      <x:c r="T15" s="2" t="str">
        <x:f>IF($C15="","",Inputs!$B$12-$C15)</x:f>
      </x:c>
      <x:c r="U15" s="24" t="str">
        <x:f>IF($H15="","",Inputs!$B$7+IF($C15&lt;=2016,Inputs!$B$8,0)+IF($I15&gt;100000,Inputs!$B$9,0)+IF($I15&gt;120000,Inputs!$B$10,0)+IF($I15&gt;150000,Inputs!$B$11,0))</x:f>
      </x:c>
      <x:c r="V15" s="20" t="str">
        <x:f>IF($H15="","",$H15*(1+Inputs!$B$3)+Inputs!$B$4)</x:f>
      </x:c>
      <x:c r="W15" s="20" t="str">
        <x:f>IF($V15="","",MAX(0,$V15-Inputs!$B$2))</x:f>
      </x:c>
      <x:c r="X15" s="20" t="str">
        <x:f>IF($W15="","",IF($U15=0,$W15/Inputs!$B$6,PMT($U15/12,Inputs!$B$6,-$W15)))</x:f>
      </x:c>
      <x:c r="Y15" s="26" t="str">
        <x:f>IF($X15="","",MAX(0,100-(MAX(0,$X15-Inputs!$B$5)*Inputs!$B$14)))</x:f>
      </x:c>
      <x:c r="Z15" s="26" t="str">
        <x:f>IF($I15="","",IF($I15&lt;=60000,0,IF($I15&lt;=90000,5,IF($I15&lt;=110000,12,IF($I15&lt;=130000,22,IF($I15&lt;=150000,35,50))))))</x:f>
      </x:c>
      <x:c r="AA15" s="26" t="str">
        <x:f>IF($T15="","",IF($T15&lt;=5,0,IF($T15&lt;=8,5,IF($T15&lt;=10,12,IF($T15&lt;=12,20,35)))))</x:f>
      </x:c>
      <x:c r="AB15" s="26" t="str">
        <x:f>IF($J15="","",($K15*18)+IF($L15&gt;=3,10,IF($L15=2,3,0))+IF($M15="Yes",5,0)+IF($N15="Yes",15,0)+IF($O15="Yes",50,0))</x:f>
      </x:c>
      <x:c r="AC15" s="26" t="str">
        <x:f>IF($U15="","",IF($U15&gt;=0.11,20,IF($U15&gt;=0.09,12,IF($U15&gt;=0.075,6,0))))</x:f>
      </x:c>
      <x:c r="AD15" s="26" t="str">
        <x:f>IF($H15="","",ROUND(($R15*0.25)+($S15*0.20)+($Y15*0.25)+((100-$Z15-$AA15-$AB15-$AC15)*0.30),1))</x:f>
      </x:c>
      <x:c r="AE15" s="2" t="str">
        <x:f>IF($AD15="","",IF($O15="Yes","SKIP - title issue",IF($X15&gt;Inputs!$B$5,"OVER BUDGET",IF($AD15&gt;=82,"BUY",IF($AD15&gt;=70,"MAYBE","SKIP")))))</x:f>
      </x:c>
      <x:c r="AF15" s="2"/>
    </x:row>
    <x:row r="16">
      <x:c r="A16" s="2" t="str">
        <x:f>IF($AD16="","",COUNTIF($AD$2:$AD$101,"&gt;"&amp;$AD16)+COUNTIFS($AD$2:$AD16,$AD16))</x:f>
      </x:c>
      <x:c r="B16" s="2"/>
      <x:c r="C16" s="2"/>
      <x:c r="D16" s="2"/>
      <x:c r="E16" s="2"/>
      <x:c r="F16" s="2"/>
      <x:c r="G16" s="2"/>
      <x:c r="H16" s="20"/>
      <x:c r="I16" s="22"/>
      <x:c r="J16" s="22"/>
      <x:c r="K16" s="2"/>
      <x:c r="L16" s="2"/>
      <x:c r="M16" s="2"/>
      <x:c r="N16" s="2"/>
      <x:c r="O16" s="2"/>
      <x:c r="P16" s="2"/>
      <x:c r="Q16" s="2"/>
      <x:c r="R16" s="2" t="str">
        <x:f>IFERROR(VLOOKUP($Q16,'Model Scores'!$A$2:$D$100,2,FALSE),70)</x:f>
      </x:c>
      <x:c r="S16" s="2" t="str">
        <x:f>IFERROR(VLOOKUP($Q16,'Model Scores'!$A$2:$D$100,3,FALSE),60)</x:f>
      </x:c>
      <x:c r="T16" s="2" t="str">
        <x:f>IF($C16="","",Inputs!$B$12-$C16)</x:f>
      </x:c>
      <x:c r="U16" s="24" t="str">
        <x:f>IF($H16="","",Inputs!$B$7+IF($C16&lt;=2016,Inputs!$B$8,0)+IF($I16&gt;100000,Inputs!$B$9,0)+IF($I16&gt;120000,Inputs!$B$10,0)+IF($I16&gt;150000,Inputs!$B$11,0))</x:f>
      </x:c>
      <x:c r="V16" s="20" t="str">
        <x:f>IF($H16="","",$H16*(1+Inputs!$B$3)+Inputs!$B$4)</x:f>
      </x:c>
      <x:c r="W16" s="20" t="str">
        <x:f>IF($V16="","",MAX(0,$V16-Inputs!$B$2))</x:f>
      </x:c>
      <x:c r="X16" s="20" t="str">
        <x:f>IF($W16="","",IF($U16=0,$W16/Inputs!$B$6,PMT($U16/12,Inputs!$B$6,-$W16)))</x:f>
      </x:c>
      <x:c r="Y16" s="26" t="str">
        <x:f>IF($X16="","",MAX(0,100-(MAX(0,$X16-Inputs!$B$5)*Inputs!$B$14)))</x:f>
      </x:c>
      <x:c r="Z16" s="26" t="str">
        <x:f>IF($I16="","",IF($I16&lt;=60000,0,IF($I16&lt;=90000,5,IF($I16&lt;=110000,12,IF($I16&lt;=130000,22,IF($I16&lt;=150000,35,50))))))</x:f>
      </x:c>
      <x:c r="AA16" s="26" t="str">
        <x:f>IF($T16="","",IF($T16&lt;=5,0,IF($T16&lt;=8,5,IF($T16&lt;=10,12,IF($T16&lt;=12,20,35)))))</x:f>
      </x:c>
      <x:c r="AB16" s="26" t="str">
        <x:f>IF($J16="","",($K16*18)+IF($L16&gt;=3,10,IF($L16=2,3,0))+IF($M16="Yes",5,0)+IF($N16="Yes",15,0)+IF($O16="Yes",50,0))</x:f>
      </x:c>
      <x:c r="AC16" s="26" t="str">
        <x:f>IF($U16="","",IF($U16&gt;=0.11,20,IF($U16&gt;=0.09,12,IF($U16&gt;=0.075,6,0))))</x:f>
      </x:c>
      <x:c r="AD16" s="26" t="str">
        <x:f>IF($H16="","",ROUND(($R16*0.25)+($S16*0.20)+($Y16*0.25)+((100-$Z16-$AA16-$AB16-$AC16)*0.30),1))</x:f>
      </x:c>
      <x:c r="AE16" s="2" t="str">
        <x:f>IF($AD16="","",IF($O16="Yes","SKIP - title issue",IF($X16&gt;Inputs!$B$5,"OVER BUDGET",IF($AD16&gt;=82,"BUY",IF($AD16&gt;=70,"MAYBE","SKIP")))))</x:f>
      </x:c>
      <x:c r="AF16" s="2"/>
    </x:row>
    <x:row r="17">
      <x:c r="A17" s="2" t="str">
        <x:f>IF($AD17="","",COUNTIF($AD$2:$AD$101,"&gt;"&amp;$AD17)+COUNTIFS($AD$2:$AD17,$AD17))</x:f>
      </x:c>
      <x:c r="B17" s="2"/>
      <x:c r="C17" s="2"/>
      <x:c r="D17" s="2"/>
      <x:c r="E17" s="2"/>
      <x:c r="F17" s="2"/>
      <x:c r="G17" s="2"/>
      <x:c r="H17" s="20"/>
      <x:c r="I17" s="22"/>
      <x:c r="J17" s="22"/>
      <x:c r="K17" s="2"/>
      <x:c r="L17" s="2"/>
      <x:c r="M17" s="2"/>
      <x:c r="N17" s="2"/>
      <x:c r="O17" s="2"/>
      <x:c r="P17" s="2"/>
      <x:c r="Q17" s="2"/>
      <x:c r="R17" s="2" t="str">
        <x:f>IFERROR(VLOOKUP($Q17,'Model Scores'!$A$2:$D$100,2,FALSE),70)</x:f>
      </x:c>
      <x:c r="S17" s="2" t="str">
        <x:f>IFERROR(VLOOKUP($Q17,'Model Scores'!$A$2:$D$100,3,FALSE),60)</x:f>
      </x:c>
      <x:c r="T17" s="2" t="str">
        <x:f>IF($C17="","",Inputs!$B$12-$C17)</x:f>
      </x:c>
      <x:c r="U17" s="24" t="str">
        <x:f>IF($H17="","",Inputs!$B$7+IF($C17&lt;=2016,Inputs!$B$8,0)+IF($I17&gt;100000,Inputs!$B$9,0)+IF($I17&gt;120000,Inputs!$B$10,0)+IF($I17&gt;150000,Inputs!$B$11,0))</x:f>
      </x:c>
      <x:c r="V17" s="20" t="str">
        <x:f>IF($H17="","",$H17*(1+Inputs!$B$3)+Inputs!$B$4)</x:f>
      </x:c>
      <x:c r="W17" s="20" t="str">
        <x:f>IF($V17="","",MAX(0,$V17-Inputs!$B$2))</x:f>
      </x:c>
      <x:c r="X17" s="20" t="str">
        <x:f>IF($W17="","",IF($U17=0,$W17/Inputs!$B$6,PMT($U17/12,Inputs!$B$6,-$W17)))</x:f>
      </x:c>
      <x:c r="Y17" s="26" t="str">
        <x:f>IF($X17="","",MAX(0,100-(MAX(0,$X17-Inputs!$B$5)*Inputs!$B$14)))</x:f>
      </x:c>
      <x:c r="Z17" s="26" t="str">
        <x:f>IF($I17="","",IF($I17&lt;=60000,0,IF($I17&lt;=90000,5,IF($I17&lt;=110000,12,IF($I17&lt;=130000,22,IF($I17&lt;=150000,35,50))))))</x:f>
      </x:c>
      <x:c r="AA17" s="26" t="str">
        <x:f>IF($T17="","",IF($T17&lt;=5,0,IF($T17&lt;=8,5,IF($T17&lt;=10,12,IF($T17&lt;=12,20,35)))))</x:f>
      </x:c>
      <x:c r="AB17" s="26" t="str">
        <x:f>IF($J17="","",($K17*18)+IF($L17&gt;=3,10,IF($L17=2,3,0))+IF($M17="Yes",5,0)+IF($N17="Yes",15,0)+IF($O17="Yes",50,0))</x:f>
      </x:c>
      <x:c r="AC17" s="26" t="str">
        <x:f>IF($U17="","",IF($U17&gt;=0.11,20,IF($U17&gt;=0.09,12,IF($U17&gt;=0.075,6,0))))</x:f>
      </x:c>
      <x:c r="AD17" s="26" t="str">
        <x:f>IF($H17="","",ROUND(($R17*0.25)+($S17*0.20)+($Y17*0.25)+((100-$Z17-$AA17-$AB17-$AC17)*0.30),1))</x:f>
      </x:c>
      <x:c r="AE17" s="2" t="str">
        <x:f>IF($AD17="","",IF($O17="Yes","SKIP - title issue",IF($X17&gt;Inputs!$B$5,"OVER BUDGET",IF($AD17&gt;=82,"BUY",IF($AD17&gt;=70,"MAYBE","SKIP")))))</x:f>
      </x:c>
      <x:c r="AF17" s="2"/>
    </x:row>
    <x:row r="18">
      <x:c r="A18" s="2" t="str">
        <x:f>IF($AD18="","",COUNTIF($AD$2:$AD$101,"&gt;"&amp;$AD18)+COUNTIFS($AD$2:$AD18,$AD18))</x:f>
      </x:c>
      <x:c r="B18" s="2"/>
      <x:c r="C18" s="2"/>
      <x:c r="D18" s="2"/>
      <x:c r="E18" s="2"/>
      <x:c r="F18" s="2"/>
      <x:c r="G18" s="2"/>
      <x:c r="H18" s="20"/>
      <x:c r="I18" s="22"/>
      <x:c r="J18" s="22"/>
      <x:c r="K18" s="2"/>
      <x:c r="L18" s="2"/>
      <x:c r="M18" s="2"/>
      <x:c r="N18" s="2"/>
      <x:c r="O18" s="2"/>
      <x:c r="P18" s="2"/>
      <x:c r="Q18" s="2"/>
      <x:c r="R18" s="2" t="str">
        <x:f>IFERROR(VLOOKUP($Q18,'Model Scores'!$A$2:$D$100,2,FALSE),70)</x:f>
      </x:c>
      <x:c r="S18" s="2" t="str">
        <x:f>IFERROR(VLOOKUP($Q18,'Model Scores'!$A$2:$D$100,3,FALSE),60)</x:f>
      </x:c>
      <x:c r="T18" s="2" t="str">
        <x:f>IF($C18="","",Inputs!$B$12-$C18)</x:f>
      </x:c>
      <x:c r="U18" s="24" t="str">
        <x:f>IF($H18="","",Inputs!$B$7+IF($C18&lt;=2016,Inputs!$B$8,0)+IF($I18&gt;100000,Inputs!$B$9,0)+IF($I18&gt;120000,Inputs!$B$10,0)+IF($I18&gt;150000,Inputs!$B$11,0))</x:f>
      </x:c>
      <x:c r="V18" s="20" t="str">
        <x:f>IF($H18="","",$H18*(1+Inputs!$B$3)+Inputs!$B$4)</x:f>
      </x:c>
      <x:c r="W18" s="20" t="str">
        <x:f>IF($V18="","",MAX(0,$V18-Inputs!$B$2))</x:f>
      </x:c>
      <x:c r="X18" s="20" t="str">
        <x:f>IF($W18="","",IF($U18=0,$W18/Inputs!$B$6,PMT($U18/12,Inputs!$B$6,-$W18)))</x:f>
      </x:c>
      <x:c r="Y18" s="26" t="str">
        <x:f>IF($X18="","",MAX(0,100-(MAX(0,$X18-Inputs!$B$5)*Inputs!$B$14)))</x:f>
      </x:c>
      <x:c r="Z18" s="26" t="str">
        <x:f>IF($I18="","",IF($I18&lt;=60000,0,IF($I18&lt;=90000,5,IF($I18&lt;=110000,12,IF($I18&lt;=130000,22,IF($I18&lt;=150000,35,50))))))</x:f>
      </x:c>
      <x:c r="AA18" s="26" t="str">
        <x:f>IF($T18="","",IF($T18&lt;=5,0,IF($T18&lt;=8,5,IF($T18&lt;=10,12,IF($T18&lt;=12,20,35)))))</x:f>
      </x:c>
      <x:c r="AB18" s="26" t="str">
        <x:f>IF($J18="","",($K18*18)+IF($L18&gt;=3,10,IF($L18=2,3,0))+IF($M18="Yes",5,0)+IF($N18="Yes",15,0)+IF($O18="Yes",50,0))</x:f>
      </x:c>
      <x:c r="AC18" s="26" t="str">
        <x:f>IF($U18="","",IF($U18&gt;=0.11,20,IF($U18&gt;=0.09,12,IF($U18&gt;=0.075,6,0))))</x:f>
      </x:c>
      <x:c r="AD18" s="26" t="str">
        <x:f>IF($H18="","",ROUND(($R18*0.25)+($S18*0.20)+($Y18*0.25)+((100-$Z18-$AA18-$AB18-$AC18)*0.30),1))</x:f>
      </x:c>
      <x:c r="AE18" s="2" t="str">
        <x:f>IF($AD18="","",IF($O18="Yes","SKIP - title issue",IF($X18&gt;Inputs!$B$5,"OVER BUDGET",IF($AD18&gt;=82,"BUY",IF($AD18&gt;=70,"MAYBE","SKIP")))))</x:f>
      </x:c>
      <x:c r="AF18" s="2"/>
    </x:row>
    <x:row r="19">
      <x:c r="A19" s="2" t="str">
        <x:f>IF($AD19="","",COUNTIF($AD$2:$AD$101,"&gt;"&amp;$AD19)+COUNTIFS($AD$2:$AD19,$AD19))</x:f>
      </x:c>
      <x:c r="B19" s="2"/>
      <x:c r="C19" s="2"/>
      <x:c r="D19" s="2"/>
      <x:c r="E19" s="2"/>
      <x:c r="F19" s="2"/>
      <x:c r="G19" s="2"/>
      <x:c r="H19" s="20"/>
      <x:c r="I19" s="22"/>
      <x:c r="J19" s="22"/>
      <x:c r="K19" s="2"/>
      <x:c r="L19" s="2"/>
      <x:c r="M19" s="2"/>
      <x:c r="N19" s="2"/>
      <x:c r="O19" s="2"/>
      <x:c r="P19" s="2"/>
      <x:c r="Q19" s="2"/>
      <x:c r="R19" s="2" t="str">
        <x:f>IFERROR(VLOOKUP($Q19,'Model Scores'!$A$2:$D$100,2,FALSE),70)</x:f>
      </x:c>
      <x:c r="S19" s="2" t="str">
        <x:f>IFERROR(VLOOKUP($Q19,'Model Scores'!$A$2:$D$100,3,FALSE),60)</x:f>
      </x:c>
      <x:c r="T19" s="2" t="str">
        <x:f>IF($C19="","",Inputs!$B$12-$C19)</x:f>
      </x:c>
      <x:c r="U19" s="24" t="str">
        <x:f>IF($H19="","",Inputs!$B$7+IF($C19&lt;=2016,Inputs!$B$8,0)+IF($I19&gt;100000,Inputs!$B$9,0)+IF($I19&gt;120000,Inputs!$B$10,0)+IF($I19&gt;150000,Inputs!$B$11,0))</x:f>
      </x:c>
      <x:c r="V19" s="20" t="str">
        <x:f>IF($H19="","",$H19*(1+Inputs!$B$3)+Inputs!$B$4)</x:f>
      </x:c>
      <x:c r="W19" s="20" t="str">
        <x:f>IF($V19="","",MAX(0,$V19-Inputs!$B$2))</x:f>
      </x:c>
      <x:c r="X19" s="20" t="str">
        <x:f>IF($W19="","",IF($U19=0,$W19/Inputs!$B$6,PMT($U19/12,Inputs!$B$6,-$W19)))</x:f>
      </x:c>
      <x:c r="Y19" s="26" t="str">
        <x:f>IF($X19="","",MAX(0,100-(MAX(0,$X19-Inputs!$B$5)*Inputs!$B$14)))</x:f>
      </x:c>
      <x:c r="Z19" s="26" t="str">
        <x:f>IF($I19="","",IF($I19&lt;=60000,0,IF($I19&lt;=90000,5,IF($I19&lt;=110000,12,IF($I19&lt;=130000,22,IF($I19&lt;=150000,35,50))))))</x:f>
      </x:c>
      <x:c r="AA19" s="26" t="str">
        <x:f>IF($T19="","",IF($T19&lt;=5,0,IF($T19&lt;=8,5,IF($T19&lt;=10,12,IF($T19&lt;=12,20,35)))))</x:f>
      </x:c>
      <x:c r="AB19" s="26" t="str">
        <x:f>IF($J19="","",($K19*18)+IF($L19&gt;=3,10,IF($L19=2,3,0))+IF($M19="Yes",5,0)+IF($N19="Yes",15,0)+IF($O19="Yes",50,0))</x:f>
      </x:c>
      <x:c r="AC19" s="26" t="str">
        <x:f>IF($U19="","",IF($U19&gt;=0.11,20,IF($U19&gt;=0.09,12,IF($U19&gt;=0.075,6,0))))</x:f>
      </x:c>
      <x:c r="AD19" s="26" t="str">
        <x:f>IF($H19="","",ROUND(($R19*0.25)+($S19*0.20)+($Y19*0.25)+((100-$Z19-$AA19-$AB19-$AC19)*0.30),1))</x:f>
      </x:c>
      <x:c r="AE19" s="2" t="str">
        <x:f>IF($AD19="","",IF($O19="Yes","SKIP - title issue",IF($X19&gt;Inputs!$B$5,"OVER BUDGET",IF($AD19&gt;=82,"BUY",IF($AD19&gt;=70,"MAYBE","SKIP")))))</x:f>
      </x:c>
      <x:c r="AF19" s="2"/>
    </x:row>
    <x:row r="20">
      <x:c r="A20" s="2" t="str">
        <x:f>IF($AD20="","",COUNTIF($AD$2:$AD$101,"&gt;"&amp;$AD20)+COUNTIFS($AD$2:$AD20,$AD20))</x:f>
      </x:c>
      <x:c r="B20" s="2"/>
      <x:c r="C20" s="2"/>
      <x:c r="D20" s="2"/>
      <x:c r="E20" s="2"/>
      <x:c r="F20" s="2"/>
      <x:c r="G20" s="2"/>
      <x:c r="H20" s="20"/>
      <x:c r="I20" s="22"/>
      <x:c r="J20" s="22"/>
      <x:c r="K20" s="2"/>
      <x:c r="L20" s="2"/>
      <x:c r="M20" s="2"/>
      <x:c r="N20" s="2"/>
      <x:c r="O20" s="2"/>
      <x:c r="P20" s="2"/>
      <x:c r="Q20" s="2"/>
      <x:c r="R20" s="2" t="str">
        <x:f>IFERROR(VLOOKUP($Q20,'Model Scores'!$A$2:$D$100,2,FALSE),70)</x:f>
      </x:c>
      <x:c r="S20" s="2" t="str">
        <x:f>IFERROR(VLOOKUP($Q20,'Model Scores'!$A$2:$D$100,3,FALSE),60)</x:f>
      </x:c>
      <x:c r="T20" s="2" t="str">
        <x:f>IF($C20="","",Inputs!$B$12-$C20)</x:f>
      </x:c>
      <x:c r="U20" s="24" t="str">
        <x:f>IF($H20="","",Inputs!$B$7+IF($C20&lt;=2016,Inputs!$B$8,0)+IF($I20&gt;100000,Inputs!$B$9,0)+IF($I20&gt;120000,Inputs!$B$10,0)+IF($I20&gt;150000,Inputs!$B$11,0))</x:f>
      </x:c>
      <x:c r="V20" s="20" t="str">
        <x:f>IF($H20="","",$H20*(1+Inputs!$B$3)+Inputs!$B$4)</x:f>
      </x:c>
      <x:c r="W20" s="20" t="str">
        <x:f>IF($V20="","",MAX(0,$V20-Inputs!$B$2))</x:f>
      </x:c>
      <x:c r="X20" s="20" t="str">
        <x:f>IF($W20="","",IF($U20=0,$W20/Inputs!$B$6,PMT($U20/12,Inputs!$B$6,-$W20)))</x:f>
      </x:c>
      <x:c r="Y20" s="26" t="str">
        <x:f>IF($X20="","",MAX(0,100-(MAX(0,$X20-Inputs!$B$5)*Inputs!$B$14)))</x:f>
      </x:c>
      <x:c r="Z20" s="26" t="str">
        <x:f>IF($I20="","",IF($I20&lt;=60000,0,IF($I20&lt;=90000,5,IF($I20&lt;=110000,12,IF($I20&lt;=130000,22,IF($I20&lt;=150000,35,50))))))</x:f>
      </x:c>
      <x:c r="AA20" s="26" t="str">
        <x:f>IF($T20="","",IF($T20&lt;=5,0,IF($T20&lt;=8,5,IF($T20&lt;=10,12,IF($T20&lt;=12,20,35)))))</x:f>
      </x:c>
      <x:c r="AB20" s="26" t="str">
        <x:f>IF($J20="","",($K20*18)+IF($L20&gt;=3,10,IF($L20=2,3,0))+IF($M20="Yes",5,0)+IF($N20="Yes",15,0)+IF($O20="Yes",50,0))</x:f>
      </x:c>
      <x:c r="AC20" s="26" t="str">
        <x:f>IF($U20="","",IF($U20&gt;=0.11,20,IF($U20&gt;=0.09,12,IF($U20&gt;=0.075,6,0))))</x:f>
      </x:c>
      <x:c r="AD20" s="26" t="str">
        <x:f>IF($H20="","",ROUND(($R20*0.25)+($S20*0.20)+($Y20*0.25)+((100-$Z20-$AA20-$AB20-$AC20)*0.30),1))</x:f>
      </x:c>
      <x:c r="AE20" s="2" t="str">
        <x:f>IF($AD20="","",IF($O20="Yes","SKIP - title issue",IF($X20&gt;Inputs!$B$5,"OVER BUDGET",IF($AD20&gt;=82,"BUY",IF($AD20&gt;=70,"MAYBE","SKIP")))))</x:f>
      </x:c>
      <x:c r="AF20" s="2"/>
    </x:row>
    <x:row r="21">
      <x:c r="A21" s="2" t="str">
        <x:f>IF($AD21="","",COUNTIF($AD$2:$AD$101,"&gt;"&amp;$AD21)+COUNTIFS($AD$2:$AD21,$AD21))</x:f>
      </x:c>
      <x:c r="B21" s="2"/>
      <x:c r="C21" s="2"/>
      <x:c r="D21" s="2"/>
      <x:c r="E21" s="2"/>
      <x:c r="F21" s="2"/>
      <x:c r="G21" s="2"/>
      <x:c r="H21" s="20"/>
      <x:c r="I21" s="22"/>
      <x:c r="J21" s="22"/>
      <x:c r="K21" s="2"/>
      <x:c r="L21" s="2"/>
      <x:c r="M21" s="2"/>
      <x:c r="N21" s="2"/>
      <x:c r="O21" s="2"/>
      <x:c r="P21" s="2"/>
      <x:c r="Q21" s="2"/>
      <x:c r="R21" s="2" t="str">
        <x:f>IFERROR(VLOOKUP($Q21,'Model Scores'!$A$2:$D$100,2,FALSE),70)</x:f>
      </x:c>
      <x:c r="S21" s="2" t="str">
        <x:f>IFERROR(VLOOKUP($Q21,'Model Scores'!$A$2:$D$100,3,FALSE),60)</x:f>
      </x:c>
      <x:c r="T21" s="2" t="str">
        <x:f>IF($C21="","",Inputs!$B$12-$C21)</x:f>
      </x:c>
      <x:c r="U21" s="24" t="str">
        <x:f>IF($H21="","",Inputs!$B$7+IF($C21&lt;=2016,Inputs!$B$8,0)+IF($I21&gt;100000,Inputs!$B$9,0)+IF($I21&gt;120000,Inputs!$B$10,0)+IF($I21&gt;150000,Inputs!$B$11,0))</x:f>
      </x:c>
      <x:c r="V21" s="20" t="str">
        <x:f>IF($H21="","",$H21*(1+Inputs!$B$3)+Inputs!$B$4)</x:f>
      </x:c>
      <x:c r="W21" s="20" t="str">
        <x:f>IF($V21="","",MAX(0,$V21-Inputs!$B$2))</x:f>
      </x:c>
      <x:c r="X21" s="20" t="str">
        <x:f>IF($W21="","",IF($U21=0,$W21/Inputs!$B$6,PMT($U21/12,Inputs!$B$6,-$W21)))</x:f>
      </x:c>
      <x:c r="Y21" s="26" t="str">
        <x:f>IF($X21="","",MAX(0,100-(MAX(0,$X21-Inputs!$B$5)*Inputs!$B$14)))</x:f>
      </x:c>
      <x:c r="Z21" s="26" t="str">
        <x:f>IF($I21="","",IF($I21&lt;=60000,0,IF($I21&lt;=90000,5,IF($I21&lt;=110000,12,IF($I21&lt;=130000,22,IF($I21&lt;=150000,35,50))))))</x:f>
      </x:c>
      <x:c r="AA21" s="26" t="str">
        <x:f>IF($T21="","",IF($T21&lt;=5,0,IF($T21&lt;=8,5,IF($T21&lt;=10,12,IF($T21&lt;=12,20,35)))))</x:f>
      </x:c>
      <x:c r="AB21" s="26" t="str">
        <x:f>IF($J21="","",($K21*18)+IF($L21&gt;=3,10,IF($L21=2,3,0))+IF($M21="Yes",5,0)+IF($N21="Yes",15,0)+IF($O21="Yes",50,0))</x:f>
      </x:c>
      <x:c r="AC21" s="26" t="str">
        <x:f>IF($U21="","",IF($U21&gt;=0.11,20,IF($U21&gt;=0.09,12,IF($U21&gt;=0.075,6,0))))</x:f>
      </x:c>
      <x:c r="AD21" s="26" t="str">
        <x:f>IF($H21="","",ROUND(($R21*0.25)+($S21*0.20)+($Y21*0.25)+((100-$Z21-$AA21-$AB21-$AC21)*0.30),1))</x:f>
      </x:c>
      <x:c r="AE21" s="2" t="str">
        <x:f>IF($AD21="","",IF($O21="Yes","SKIP - title issue",IF($X21&gt;Inputs!$B$5,"OVER BUDGET",IF($AD21&gt;=82,"BUY",IF($AD21&gt;=70,"MAYBE","SKIP")))))</x:f>
      </x:c>
      <x:c r="AF21" s="2"/>
    </x:row>
    <x:row r="22">
      <x:c r="A22" s="2" t="str">
        <x:f>IF($AD22="","",COUNTIF($AD$2:$AD$101,"&gt;"&amp;$AD22)+COUNTIFS($AD$2:$AD22,$AD22))</x:f>
      </x:c>
      <x:c r="B22" s="2"/>
      <x:c r="C22" s="2"/>
      <x:c r="D22" s="2"/>
      <x:c r="E22" s="2"/>
      <x:c r="F22" s="2"/>
      <x:c r="G22" s="2"/>
      <x:c r="H22" s="20"/>
      <x:c r="I22" s="22"/>
      <x:c r="J22" s="22"/>
      <x:c r="K22" s="2"/>
      <x:c r="L22" s="2"/>
      <x:c r="M22" s="2"/>
      <x:c r="N22" s="2"/>
      <x:c r="O22" s="2"/>
      <x:c r="P22" s="2"/>
      <x:c r="Q22" s="2"/>
      <x:c r="R22" s="2" t="str">
        <x:f>IFERROR(VLOOKUP($Q22,'Model Scores'!$A$2:$D$100,2,FALSE),70)</x:f>
      </x:c>
      <x:c r="S22" s="2" t="str">
        <x:f>IFERROR(VLOOKUP($Q22,'Model Scores'!$A$2:$D$100,3,FALSE),60)</x:f>
      </x:c>
      <x:c r="T22" s="2" t="str">
        <x:f>IF($C22="","",Inputs!$B$12-$C22)</x:f>
      </x:c>
      <x:c r="U22" s="24" t="str">
        <x:f>IF($H22="","",Inputs!$B$7+IF($C22&lt;=2016,Inputs!$B$8,0)+IF($I22&gt;100000,Inputs!$B$9,0)+IF($I22&gt;120000,Inputs!$B$10,0)+IF($I22&gt;150000,Inputs!$B$11,0))</x:f>
      </x:c>
      <x:c r="V22" s="20" t="str">
        <x:f>IF($H22="","",$H22*(1+Inputs!$B$3)+Inputs!$B$4)</x:f>
      </x:c>
      <x:c r="W22" s="20" t="str">
        <x:f>IF($V22="","",MAX(0,$V22-Inputs!$B$2))</x:f>
      </x:c>
      <x:c r="X22" s="20" t="str">
        <x:f>IF($W22="","",IF($U22=0,$W22/Inputs!$B$6,PMT($U22/12,Inputs!$B$6,-$W22)))</x:f>
      </x:c>
      <x:c r="Y22" s="26" t="str">
        <x:f>IF($X22="","",MAX(0,100-(MAX(0,$X22-Inputs!$B$5)*Inputs!$B$14)))</x:f>
      </x:c>
      <x:c r="Z22" s="26" t="str">
        <x:f>IF($I22="","",IF($I22&lt;=60000,0,IF($I22&lt;=90000,5,IF($I22&lt;=110000,12,IF($I22&lt;=130000,22,IF($I22&lt;=150000,35,50))))))</x:f>
      </x:c>
      <x:c r="AA22" s="26" t="str">
        <x:f>IF($T22="","",IF($T22&lt;=5,0,IF($T22&lt;=8,5,IF($T22&lt;=10,12,IF($T22&lt;=12,20,35)))))</x:f>
      </x:c>
      <x:c r="AB22" s="26" t="str">
        <x:f>IF($J22="","",($K22*18)+IF($L22&gt;=3,10,IF($L22=2,3,0))+IF($M22="Yes",5,0)+IF($N22="Yes",15,0)+IF($O22="Yes",50,0))</x:f>
      </x:c>
      <x:c r="AC22" s="26" t="str">
        <x:f>IF($U22="","",IF($U22&gt;=0.11,20,IF($U22&gt;=0.09,12,IF($U22&gt;=0.075,6,0))))</x:f>
      </x:c>
      <x:c r="AD22" s="26" t="str">
        <x:f>IF($H22="","",ROUND(($R22*0.25)+($S22*0.20)+($Y22*0.25)+((100-$Z22-$AA22-$AB22-$AC22)*0.30),1))</x:f>
      </x:c>
      <x:c r="AE22" s="2" t="str">
        <x:f>IF($AD22="","",IF($O22="Yes","SKIP - title issue",IF($X22&gt;Inputs!$B$5,"OVER BUDGET",IF($AD22&gt;=82,"BUY",IF($AD22&gt;=70,"MAYBE","SKIP")))))</x:f>
      </x:c>
      <x:c r="AF22" s="2"/>
    </x:row>
    <x:row r="23">
      <x:c r="A23" s="2" t="str">
        <x:f>IF($AD23="","",COUNTIF($AD$2:$AD$101,"&gt;"&amp;$AD23)+COUNTIFS($AD$2:$AD23,$AD23))</x:f>
      </x:c>
      <x:c r="B23" s="2"/>
      <x:c r="C23" s="2"/>
      <x:c r="D23" s="2"/>
      <x:c r="E23" s="2"/>
      <x:c r="F23" s="2"/>
      <x:c r="G23" s="2"/>
      <x:c r="H23" s="20"/>
      <x:c r="I23" s="22"/>
      <x:c r="J23" s="22"/>
      <x:c r="K23" s="2"/>
      <x:c r="L23" s="2"/>
      <x:c r="M23" s="2"/>
      <x:c r="N23" s="2"/>
      <x:c r="O23" s="2"/>
      <x:c r="P23" s="2"/>
      <x:c r="Q23" s="2"/>
      <x:c r="R23" s="2" t="str">
        <x:f>IFERROR(VLOOKUP($Q23,'Model Scores'!$A$2:$D$100,2,FALSE),70)</x:f>
      </x:c>
      <x:c r="S23" s="2" t="str">
        <x:f>IFERROR(VLOOKUP($Q23,'Model Scores'!$A$2:$D$100,3,FALSE),60)</x:f>
      </x:c>
      <x:c r="T23" s="2" t="str">
        <x:f>IF($C23="","",Inputs!$B$12-$C23)</x:f>
      </x:c>
      <x:c r="U23" s="24" t="str">
        <x:f>IF($H23="","",Inputs!$B$7+IF($C23&lt;=2016,Inputs!$B$8,0)+IF($I23&gt;100000,Inputs!$B$9,0)+IF($I23&gt;120000,Inputs!$B$10,0)+IF($I23&gt;150000,Inputs!$B$11,0))</x:f>
      </x:c>
      <x:c r="V23" s="20" t="str">
        <x:f>IF($H23="","",$H23*(1+Inputs!$B$3)+Inputs!$B$4)</x:f>
      </x:c>
      <x:c r="W23" s="20" t="str">
        <x:f>IF($V23="","",MAX(0,$V23-Inputs!$B$2))</x:f>
      </x:c>
      <x:c r="X23" s="20" t="str">
        <x:f>IF($W23="","",IF($U23=0,$W23/Inputs!$B$6,PMT($U23/12,Inputs!$B$6,-$W23)))</x:f>
      </x:c>
      <x:c r="Y23" s="26" t="str">
        <x:f>IF($X23="","",MAX(0,100-(MAX(0,$X23-Inputs!$B$5)*Inputs!$B$14)))</x:f>
      </x:c>
      <x:c r="Z23" s="26" t="str">
        <x:f>IF($I23="","",IF($I23&lt;=60000,0,IF($I23&lt;=90000,5,IF($I23&lt;=110000,12,IF($I23&lt;=130000,22,IF($I23&lt;=150000,35,50))))))</x:f>
      </x:c>
      <x:c r="AA23" s="26" t="str">
        <x:f>IF($T23="","",IF($T23&lt;=5,0,IF($T23&lt;=8,5,IF($T23&lt;=10,12,IF($T23&lt;=12,20,35)))))</x:f>
      </x:c>
      <x:c r="AB23" s="26" t="str">
        <x:f>IF($J23="","",($K23*18)+IF($L23&gt;=3,10,IF($L23=2,3,0))+IF($M23="Yes",5,0)+IF($N23="Yes",15,0)+IF($O23="Yes",50,0))</x:f>
      </x:c>
      <x:c r="AC23" s="26" t="str">
        <x:f>IF($U23="","",IF($U23&gt;=0.11,20,IF($U23&gt;=0.09,12,IF($U23&gt;=0.075,6,0))))</x:f>
      </x:c>
      <x:c r="AD23" s="26" t="str">
        <x:f>IF($H23="","",ROUND(($R23*0.25)+($S23*0.20)+($Y23*0.25)+((100-$Z23-$AA23-$AB23-$AC23)*0.30),1))</x:f>
      </x:c>
      <x:c r="AE23" s="2" t="str">
        <x:f>IF($AD23="","",IF($O23="Yes","SKIP - title issue",IF($X23&gt;Inputs!$B$5,"OVER BUDGET",IF($AD23&gt;=82,"BUY",IF($AD23&gt;=70,"MAYBE","SKIP")))))</x:f>
      </x:c>
      <x:c r="AF23" s="2"/>
    </x:row>
    <x:row r="24">
      <x:c r="A24" s="2" t="str">
        <x:f>IF($AD24="","",COUNTIF($AD$2:$AD$101,"&gt;"&amp;$AD24)+COUNTIFS($AD$2:$AD24,$AD24))</x:f>
      </x:c>
      <x:c r="B24" s="2"/>
      <x:c r="C24" s="2"/>
      <x:c r="D24" s="2"/>
      <x:c r="E24" s="2"/>
      <x:c r="F24" s="2"/>
      <x:c r="G24" s="2"/>
      <x:c r="H24" s="20"/>
      <x:c r="I24" s="22"/>
      <x:c r="J24" s="22"/>
      <x:c r="K24" s="2"/>
      <x:c r="L24" s="2"/>
      <x:c r="M24" s="2"/>
      <x:c r="N24" s="2"/>
      <x:c r="O24" s="2"/>
      <x:c r="P24" s="2"/>
      <x:c r="Q24" s="2"/>
      <x:c r="R24" s="2" t="str">
        <x:f>IFERROR(VLOOKUP($Q24,'Model Scores'!$A$2:$D$100,2,FALSE),70)</x:f>
      </x:c>
      <x:c r="S24" s="2" t="str">
        <x:f>IFERROR(VLOOKUP($Q24,'Model Scores'!$A$2:$D$100,3,FALSE),60)</x:f>
      </x:c>
      <x:c r="T24" s="2" t="str">
        <x:f>IF($C24="","",Inputs!$B$12-$C24)</x:f>
      </x:c>
      <x:c r="U24" s="24" t="str">
        <x:f>IF($H24="","",Inputs!$B$7+IF($C24&lt;=2016,Inputs!$B$8,0)+IF($I24&gt;100000,Inputs!$B$9,0)+IF($I24&gt;120000,Inputs!$B$10,0)+IF($I24&gt;150000,Inputs!$B$11,0))</x:f>
      </x:c>
      <x:c r="V24" s="20" t="str">
        <x:f>IF($H24="","",$H24*(1+Inputs!$B$3)+Inputs!$B$4)</x:f>
      </x:c>
      <x:c r="W24" s="20" t="str">
        <x:f>IF($V24="","",MAX(0,$V24-Inputs!$B$2))</x:f>
      </x:c>
      <x:c r="X24" s="20" t="str">
        <x:f>IF($W24="","",IF($U24=0,$W24/Inputs!$B$6,PMT($U24/12,Inputs!$B$6,-$W24)))</x:f>
      </x:c>
      <x:c r="Y24" s="26" t="str">
        <x:f>IF($X24="","",MAX(0,100-(MAX(0,$X24-Inputs!$B$5)*Inputs!$B$14)))</x:f>
      </x:c>
      <x:c r="Z24" s="26" t="str">
        <x:f>IF($I24="","",IF($I24&lt;=60000,0,IF($I24&lt;=90000,5,IF($I24&lt;=110000,12,IF($I24&lt;=130000,22,IF($I24&lt;=150000,35,50))))))</x:f>
      </x:c>
      <x:c r="AA24" s="26" t="str">
        <x:f>IF($T24="","",IF($T24&lt;=5,0,IF($T24&lt;=8,5,IF($T24&lt;=10,12,IF($T24&lt;=12,20,35)))))</x:f>
      </x:c>
      <x:c r="AB24" s="26" t="str">
        <x:f>IF($J24="","",($K24*18)+IF($L24&gt;=3,10,IF($L24=2,3,0))+IF($M24="Yes",5,0)+IF($N24="Yes",15,0)+IF($O24="Yes",50,0))</x:f>
      </x:c>
      <x:c r="AC24" s="26" t="str">
        <x:f>IF($U24="","",IF($U24&gt;=0.11,20,IF($U24&gt;=0.09,12,IF($U24&gt;=0.075,6,0))))</x:f>
      </x:c>
      <x:c r="AD24" s="26" t="str">
        <x:f>IF($H24="","",ROUND(($R24*0.25)+($S24*0.20)+($Y24*0.25)+((100-$Z24-$AA24-$AB24-$AC24)*0.30),1))</x:f>
      </x:c>
      <x:c r="AE24" s="2" t="str">
        <x:f>IF($AD24="","",IF($O24="Yes","SKIP - title issue",IF($X24&gt;Inputs!$B$5,"OVER BUDGET",IF($AD24&gt;=82,"BUY",IF($AD24&gt;=70,"MAYBE","SKIP")))))</x:f>
      </x:c>
      <x:c r="AF24" s="2"/>
    </x:row>
    <x:row r="25">
      <x:c r="A25" s="2" t="str">
        <x:f>IF($AD25="","",COUNTIF($AD$2:$AD$101,"&gt;"&amp;$AD25)+COUNTIFS($AD$2:$AD25,$AD25))</x:f>
      </x:c>
      <x:c r="B25" s="2"/>
      <x:c r="C25" s="2"/>
      <x:c r="D25" s="2"/>
      <x:c r="E25" s="2"/>
      <x:c r="F25" s="2"/>
      <x:c r="G25" s="2"/>
      <x:c r="H25" s="20"/>
      <x:c r="I25" s="22"/>
      <x:c r="J25" s="22"/>
      <x:c r="K25" s="2"/>
      <x:c r="L25" s="2"/>
      <x:c r="M25" s="2"/>
      <x:c r="N25" s="2"/>
      <x:c r="O25" s="2"/>
      <x:c r="P25" s="2"/>
      <x:c r="Q25" s="2"/>
      <x:c r="R25" s="2" t="str">
        <x:f>IFERROR(VLOOKUP($Q25,'Model Scores'!$A$2:$D$100,2,FALSE),70)</x:f>
      </x:c>
      <x:c r="S25" s="2" t="str">
        <x:f>IFERROR(VLOOKUP($Q25,'Model Scores'!$A$2:$D$100,3,FALSE),60)</x:f>
      </x:c>
      <x:c r="T25" s="2" t="str">
        <x:f>IF($C25="","",Inputs!$B$12-$C25)</x:f>
      </x:c>
      <x:c r="U25" s="24" t="str">
        <x:f>IF($H25="","",Inputs!$B$7+IF($C25&lt;=2016,Inputs!$B$8,0)+IF($I25&gt;100000,Inputs!$B$9,0)+IF($I25&gt;120000,Inputs!$B$10,0)+IF($I25&gt;150000,Inputs!$B$11,0))</x:f>
      </x:c>
      <x:c r="V25" s="20" t="str">
        <x:f>IF($H25="","",$H25*(1+Inputs!$B$3)+Inputs!$B$4)</x:f>
      </x:c>
      <x:c r="W25" s="20" t="str">
        <x:f>IF($V25="","",MAX(0,$V25-Inputs!$B$2))</x:f>
      </x:c>
      <x:c r="X25" s="20" t="str">
        <x:f>IF($W25="","",IF($U25=0,$W25/Inputs!$B$6,PMT($U25/12,Inputs!$B$6,-$W25)))</x:f>
      </x:c>
      <x:c r="Y25" s="26" t="str">
        <x:f>IF($X25="","",MAX(0,100-(MAX(0,$X25-Inputs!$B$5)*Inputs!$B$14)))</x:f>
      </x:c>
      <x:c r="Z25" s="26" t="str">
        <x:f>IF($I25="","",IF($I25&lt;=60000,0,IF($I25&lt;=90000,5,IF($I25&lt;=110000,12,IF($I25&lt;=130000,22,IF($I25&lt;=150000,35,50))))))</x:f>
      </x:c>
      <x:c r="AA25" s="26" t="str">
        <x:f>IF($T25="","",IF($T25&lt;=5,0,IF($T25&lt;=8,5,IF($T25&lt;=10,12,IF($T25&lt;=12,20,35)))))</x:f>
      </x:c>
      <x:c r="AB25" s="26" t="str">
        <x:f>IF($J25="","",($K25*18)+IF($L25&gt;=3,10,IF($L25=2,3,0))+IF($M25="Yes",5,0)+IF($N25="Yes",15,0)+IF($O25="Yes",50,0))</x:f>
      </x:c>
      <x:c r="AC25" s="26" t="str">
        <x:f>IF($U25="","",IF($U25&gt;=0.11,20,IF($U25&gt;=0.09,12,IF($U25&gt;=0.075,6,0))))</x:f>
      </x:c>
      <x:c r="AD25" s="26" t="str">
        <x:f>IF($H25="","",ROUND(($R25*0.25)+($S25*0.20)+($Y25*0.25)+((100-$Z25-$AA25-$AB25-$AC25)*0.30),1))</x:f>
      </x:c>
      <x:c r="AE25" s="2" t="str">
        <x:f>IF($AD25="","",IF($O25="Yes","SKIP - title issue",IF($X25&gt;Inputs!$B$5,"OVER BUDGET",IF($AD25&gt;=82,"BUY",IF($AD25&gt;=70,"MAYBE","SKIP")))))</x:f>
      </x:c>
      <x:c r="AF25" s="2"/>
    </x:row>
    <x:row r="26">
      <x:c r="A26" s="2" t="str">
        <x:f>IF($AD26="","",COUNTIF($AD$2:$AD$101,"&gt;"&amp;$AD26)+COUNTIFS($AD$2:$AD26,$AD26))</x:f>
      </x:c>
      <x:c r="B26" s="2"/>
      <x:c r="C26" s="2"/>
      <x:c r="D26" s="2"/>
      <x:c r="E26" s="2"/>
      <x:c r="F26" s="2"/>
      <x:c r="G26" s="2"/>
      <x:c r="H26" s="20"/>
      <x:c r="I26" s="22"/>
      <x:c r="J26" s="22"/>
      <x:c r="K26" s="2"/>
      <x:c r="L26" s="2"/>
      <x:c r="M26" s="2"/>
      <x:c r="N26" s="2"/>
      <x:c r="O26" s="2"/>
      <x:c r="P26" s="2"/>
      <x:c r="Q26" s="2"/>
      <x:c r="R26" s="2" t="str">
        <x:f>IFERROR(VLOOKUP($Q26,'Model Scores'!$A$2:$D$100,2,FALSE),70)</x:f>
      </x:c>
      <x:c r="S26" s="2" t="str">
        <x:f>IFERROR(VLOOKUP($Q26,'Model Scores'!$A$2:$D$100,3,FALSE),60)</x:f>
      </x:c>
      <x:c r="T26" s="2" t="str">
        <x:f>IF($C26="","",Inputs!$B$12-$C26)</x:f>
      </x:c>
      <x:c r="U26" s="24" t="str">
        <x:f>IF($H26="","",Inputs!$B$7+IF($C26&lt;=2016,Inputs!$B$8,0)+IF($I26&gt;100000,Inputs!$B$9,0)+IF($I26&gt;120000,Inputs!$B$10,0)+IF($I26&gt;150000,Inputs!$B$11,0))</x:f>
      </x:c>
      <x:c r="V26" s="20" t="str">
        <x:f>IF($H26="","",$H26*(1+Inputs!$B$3)+Inputs!$B$4)</x:f>
      </x:c>
      <x:c r="W26" s="20" t="str">
        <x:f>IF($V26="","",MAX(0,$V26-Inputs!$B$2))</x:f>
      </x:c>
      <x:c r="X26" s="20" t="str">
        <x:f>IF($W26="","",IF($U26=0,$W26/Inputs!$B$6,PMT($U26/12,Inputs!$B$6,-$W26)))</x:f>
      </x:c>
      <x:c r="Y26" s="26" t="str">
        <x:f>IF($X26="","",MAX(0,100-(MAX(0,$X26-Inputs!$B$5)*Inputs!$B$14)))</x:f>
      </x:c>
      <x:c r="Z26" s="26" t="str">
        <x:f>IF($I26="","",IF($I26&lt;=60000,0,IF($I26&lt;=90000,5,IF($I26&lt;=110000,12,IF($I26&lt;=130000,22,IF($I26&lt;=150000,35,50))))))</x:f>
      </x:c>
      <x:c r="AA26" s="26" t="str">
        <x:f>IF($T26="","",IF($T26&lt;=5,0,IF($T26&lt;=8,5,IF($T26&lt;=10,12,IF($T26&lt;=12,20,35)))))</x:f>
      </x:c>
      <x:c r="AB26" s="26" t="str">
        <x:f>IF($J26="","",($K26*18)+IF($L26&gt;=3,10,IF($L26=2,3,0))+IF($M26="Yes",5,0)+IF($N26="Yes",15,0)+IF($O26="Yes",50,0))</x:f>
      </x:c>
      <x:c r="AC26" s="26" t="str">
        <x:f>IF($U26="","",IF($U26&gt;=0.11,20,IF($U26&gt;=0.09,12,IF($U26&gt;=0.075,6,0))))</x:f>
      </x:c>
      <x:c r="AD26" s="26" t="str">
        <x:f>IF($H26="","",ROUND(($R26*0.25)+($S26*0.20)+($Y26*0.25)+((100-$Z26-$AA26-$AB26-$AC26)*0.30),1))</x:f>
      </x:c>
      <x:c r="AE26" s="2" t="str">
        <x:f>IF($AD26="","",IF($O26="Yes","SKIP - title issue",IF($X26&gt;Inputs!$B$5,"OVER BUDGET",IF($AD26&gt;=82,"BUY",IF($AD26&gt;=70,"MAYBE","SKIP")))))</x:f>
      </x:c>
      <x:c r="AF26" s="2"/>
    </x:row>
    <x:row r="27">
      <x:c r="A27" s="2" t="str">
        <x:f>IF($AD27="","",COUNTIF($AD$2:$AD$101,"&gt;"&amp;$AD27)+COUNTIFS($AD$2:$AD27,$AD27))</x:f>
      </x:c>
      <x:c r="B27" s="2"/>
      <x:c r="C27" s="2"/>
      <x:c r="D27" s="2"/>
      <x:c r="E27" s="2"/>
      <x:c r="F27" s="2"/>
      <x:c r="G27" s="2"/>
      <x:c r="H27" s="20"/>
      <x:c r="I27" s="22"/>
      <x:c r="J27" s="22"/>
      <x:c r="K27" s="2"/>
      <x:c r="L27" s="2"/>
      <x:c r="M27" s="2"/>
      <x:c r="N27" s="2"/>
      <x:c r="O27" s="2"/>
      <x:c r="P27" s="2"/>
      <x:c r="Q27" s="2"/>
      <x:c r="R27" s="2" t="str">
        <x:f>IFERROR(VLOOKUP($Q27,'Model Scores'!$A$2:$D$100,2,FALSE),70)</x:f>
      </x:c>
      <x:c r="S27" s="2" t="str">
        <x:f>IFERROR(VLOOKUP($Q27,'Model Scores'!$A$2:$D$100,3,FALSE),60)</x:f>
      </x:c>
      <x:c r="T27" s="2" t="str">
        <x:f>IF($C27="","",Inputs!$B$12-$C27)</x:f>
      </x:c>
      <x:c r="U27" s="24" t="str">
        <x:f>IF($H27="","",Inputs!$B$7+IF($C27&lt;=2016,Inputs!$B$8,0)+IF($I27&gt;100000,Inputs!$B$9,0)+IF($I27&gt;120000,Inputs!$B$10,0)+IF($I27&gt;150000,Inputs!$B$11,0))</x:f>
      </x:c>
      <x:c r="V27" s="20" t="str">
        <x:f>IF($H27="","",$H27*(1+Inputs!$B$3)+Inputs!$B$4)</x:f>
      </x:c>
      <x:c r="W27" s="20" t="str">
        <x:f>IF($V27="","",MAX(0,$V27-Inputs!$B$2))</x:f>
      </x:c>
      <x:c r="X27" s="20" t="str">
        <x:f>IF($W27="","",IF($U27=0,$W27/Inputs!$B$6,PMT($U27/12,Inputs!$B$6,-$W27)))</x:f>
      </x:c>
      <x:c r="Y27" s="26" t="str">
        <x:f>IF($X27="","",MAX(0,100-(MAX(0,$X27-Inputs!$B$5)*Inputs!$B$14)))</x:f>
      </x:c>
      <x:c r="Z27" s="26" t="str">
        <x:f>IF($I27="","",IF($I27&lt;=60000,0,IF($I27&lt;=90000,5,IF($I27&lt;=110000,12,IF($I27&lt;=130000,22,IF($I27&lt;=150000,35,50))))))</x:f>
      </x:c>
      <x:c r="AA27" s="26" t="str">
        <x:f>IF($T27="","",IF($T27&lt;=5,0,IF($T27&lt;=8,5,IF($T27&lt;=10,12,IF($T27&lt;=12,20,35)))))</x:f>
      </x:c>
      <x:c r="AB27" s="26" t="str">
        <x:f>IF($J27="","",($K27*18)+IF($L27&gt;=3,10,IF($L27=2,3,0))+IF($M27="Yes",5,0)+IF($N27="Yes",15,0)+IF($O27="Yes",50,0))</x:f>
      </x:c>
      <x:c r="AC27" s="26" t="str">
        <x:f>IF($U27="","",IF($U27&gt;=0.11,20,IF($U27&gt;=0.09,12,IF($U27&gt;=0.075,6,0))))</x:f>
      </x:c>
      <x:c r="AD27" s="26" t="str">
        <x:f>IF($H27="","",ROUND(($R27*0.25)+($S27*0.20)+($Y27*0.25)+((100-$Z27-$AA27-$AB27-$AC27)*0.30),1))</x:f>
      </x:c>
      <x:c r="AE27" s="2" t="str">
        <x:f>IF($AD27="","",IF($O27="Yes","SKIP - title issue",IF($X27&gt;Inputs!$B$5,"OVER BUDGET",IF($AD27&gt;=82,"BUY",IF($AD27&gt;=70,"MAYBE","SKIP")))))</x:f>
      </x:c>
      <x:c r="AF27" s="2"/>
    </x:row>
    <x:row r="28">
      <x:c r="A28" s="2" t="str">
        <x:f>IF($AD28="","",COUNTIF($AD$2:$AD$101,"&gt;"&amp;$AD28)+COUNTIFS($AD$2:$AD28,$AD28))</x:f>
      </x:c>
      <x:c r="B28" s="2"/>
      <x:c r="C28" s="2"/>
      <x:c r="D28" s="2"/>
      <x:c r="E28" s="2"/>
      <x:c r="F28" s="2"/>
      <x:c r="G28" s="2"/>
      <x:c r="H28" s="20"/>
      <x:c r="I28" s="22"/>
      <x:c r="J28" s="22"/>
      <x:c r="K28" s="2"/>
      <x:c r="L28" s="2"/>
      <x:c r="M28" s="2"/>
      <x:c r="N28" s="2"/>
      <x:c r="O28" s="2"/>
      <x:c r="P28" s="2"/>
      <x:c r="Q28" s="2"/>
      <x:c r="R28" s="2" t="str">
        <x:f>IFERROR(VLOOKUP($Q28,'Model Scores'!$A$2:$D$100,2,FALSE),70)</x:f>
      </x:c>
      <x:c r="S28" s="2" t="str">
        <x:f>IFERROR(VLOOKUP($Q28,'Model Scores'!$A$2:$D$100,3,FALSE),60)</x:f>
      </x:c>
      <x:c r="T28" s="2" t="str">
        <x:f>IF($C28="","",Inputs!$B$12-$C28)</x:f>
      </x:c>
      <x:c r="U28" s="24" t="str">
        <x:f>IF($H28="","",Inputs!$B$7+IF($C28&lt;=2016,Inputs!$B$8,0)+IF($I28&gt;100000,Inputs!$B$9,0)+IF($I28&gt;120000,Inputs!$B$10,0)+IF($I28&gt;150000,Inputs!$B$11,0))</x:f>
      </x:c>
      <x:c r="V28" s="20" t="str">
        <x:f>IF($H28="","",$H28*(1+Inputs!$B$3)+Inputs!$B$4)</x:f>
      </x:c>
      <x:c r="W28" s="20" t="str">
        <x:f>IF($V28="","",MAX(0,$V28-Inputs!$B$2))</x:f>
      </x:c>
      <x:c r="X28" s="20" t="str">
        <x:f>IF($W28="","",IF($U28=0,$W28/Inputs!$B$6,PMT($U28/12,Inputs!$B$6,-$W28)))</x:f>
      </x:c>
      <x:c r="Y28" s="26" t="str">
        <x:f>IF($X28="","",MAX(0,100-(MAX(0,$X28-Inputs!$B$5)*Inputs!$B$14)))</x:f>
      </x:c>
      <x:c r="Z28" s="26" t="str">
        <x:f>IF($I28="","",IF($I28&lt;=60000,0,IF($I28&lt;=90000,5,IF($I28&lt;=110000,12,IF($I28&lt;=130000,22,IF($I28&lt;=150000,35,50))))))</x:f>
      </x:c>
      <x:c r="AA28" s="26" t="str">
        <x:f>IF($T28="","",IF($T28&lt;=5,0,IF($T28&lt;=8,5,IF($T28&lt;=10,12,IF($T28&lt;=12,20,35)))))</x:f>
      </x:c>
      <x:c r="AB28" s="26" t="str">
        <x:f>IF($J28="","",($K28*18)+IF($L28&gt;=3,10,IF($L28=2,3,0))+IF($M28="Yes",5,0)+IF($N28="Yes",15,0)+IF($O28="Yes",50,0))</x:f>
      </x:c>
      <x:c r="AC28" s="26" t="str">
        <x:f>IF($U28="","",IF($U28&gt;=0.11,20,IF($U28&gt;=0.09,12,IF($U28&gt;=0.075,6,0))))</x:f>
      </x:c>
      <x:c r="AD28" s="26" t="str">
        <x:f>IF($H28="","",ROUND(($R28*0.25)+($S28*0.20)+($Y28*0.25)+((100-$Z28-$AA28-$AB28-$AC28)*0.30),1))</x:f>
      </x:c>
      <x:c r="AE28" s="2" t="str">
        <x:f>IF($AD28="","",IF($O28="Yes","SKIP - title issue",IF($X28&gt;Inputs!$B$5,"OVER BUDGET",IF($AD28&gt;=82,"BUY",IF($AD28&gt;=70,"MAYBE","SKIP")))))</x:f>
      </x:c>
      <x:c r="AF28" s="2"/>
    </x:row>
    <x:row r="29">
      <x:c r="A29" s="2" t="str">
        <x:f>IF($AD29="","",COUNTIF($AD$2:$AD$101,"&gt;"&amp;$AD29)+COUNTIFS($AD$2:$AD29,$AD29))</x:f>
      </x:c>
      <x:c r="B29" s="2"/>
      <x:c r="C29" s="2"/>
      <x:c r="D29" s="2"/>
      <x:c r="E29" s="2"/>
      <x:c r="F29" s="2"/>
      <x:c r="G29" s="2"/>
      <x:c r="H29" s="20"/>
      <x:c r="I29" s="22"/>
      <x:c r="J29" s="22"/>
      <x:c r="K29" s="2"/>
      <x:c r="L29" s="2"/>
      <x:c r="M29" s="2"/>
      <x:c r="N29" s="2"/>
      <x:c r="O29" s="2"/>
      <x:c r="P29" s="2"/>
      <x:c r="Q29" s="2"/>
      <x:c r="R29" s="2" t="str">
        <x:f>IFERROR(VLOOKUP($Q29,'Model Scores'!$A$2:$D$100,2,FALSE),70)</x:f>
      </x:c>
      <x:c r="S29" s="2" t="str">
        <x:f>IFERROR(VLOOKUP($Q29,'Model Scores'!$A$2:$D$100,3,FALSE),60)</x:f>
      </x:c>
      <x:c r="T29" s="2" t="str">
        <x:f>IF($C29="","",Inputs!$B$12-$C29)</x:f>
      </x:c>
      <x:c r="U29" s="24" t="str">
        <x:f>IF($H29="","",Inputs!$B$7+IF($C29&lt;=2016,Inputs!$B$8,0)+IF($I29&gt;100000,Inputs!$B$9,0)+IF($I29&gt;120000,Inputs!$B$10,0)+IF($I29&gt;150000,Inputs!$B$11,0))</x:f>
      </x:c>
      <x:c r="V29" s="20" t="str">
        <x:f>IF($H29="","",$H29*(1+Inputs!$B$3)+Inputs!$B$4)</x:f>
      </x:c>
      <x:c r="W29" s="20" t="str">
        <x:f>IF($V29="","",MAX(0,$V29-Inputs!$B$2))</x:f>
      </x:c>
      <x:c r="X29" s="20" t="str">
        <x:f>IF($W29="","",IF($U29=0,$W29/Inputs!$B$6,PMT($U29/12,Inputs!$B$6,-$W29)))</x:f>
      </x:c>
      <x:c r="Y29" s="26" t="str">
        <x:f>IF($X29="","",MAX(0,100-(MAX(0,$X29-Inputs!$B$5)*Inputs!$B$14)))</x:f>
      </x:c>
      <x:c r="Z29" s="26" t="str">
        <x:f>IF($I29="","",IF($I29&lt;=60000,0,IF($I29&lt;=90000,5,IF($I29&lt;=110000,12,IF($I29&lt;=130000,22,IF($I29&lt;=150000,35,50))))))</x:f>
      </x:c>
      <x:c r="AA29" s="26" t="str">
        <x:f>IF($T29="","",IF($T29&lt;=5,0,IF($T29&lt;=8,5,IF($T29&lt;=10,12,IF($T29&lt;=12,20,35)))))</x:f>
      </x:c>
      <x:c r="AB29" s="26" t="str">
        <x:f>IF($J29="","",($K29*18)+IF($L29&gt;=3,10,IF($L29=2,3,0))+IF($M29="Yes",5,0)+IF($N29="Yes",15,0)+IF($O29="Yes",50,0))</x:f>
      </x:c>
      <x:c r="AC29" s="26" t="str">
        <x:f>IF($U29="","",IF($U29&gt;=0.11,20,IF($U29&gt;=0.09,12,IF($U29&gt;=0.075,6,0))))</x:f>
      </x:c>
      <x:c r="AD29" s="26" t="str">
        <x:f>IF($H29="","",ROUND(($R29*0.25)+($S29*0.20)+($Y29*0.25)+((100-$Z29-$AA29-$AB29-$AC29)*0.30),1))</x:f>
      </x:c>
      <x:c r="AE29" s="2" t="str">
        <x:f>IF($AD29="","",IF($O29="Yes","SKIP - title issue",IF($X29&gt;Inputs!$B$5,"OVER BUDGET",IF($AD29&gt;=82,"BUY",IF($AD29&gt;=70,"MAYBE","SKIP")))))</x:f>
      </x:c>
      <x:c r="AF29" s="2"/>
    </x:row>
    <x:row r="30">
      <x:c r="A30" s="2" t="str">
        <x:f>IF($AD30="","",COUNTIF($AD$2:$AD$101,"&gt;"&amp;$AD30)+COUNTIFS($AD$2:$AD30,$AD30))</x:f>
      </x:c>
      <x:c r="B30" s="2"/>
      <x:c r="C30" s="2"/>
      <x:c r="D30" s="2"/>
      <x:c r="E30" s="2"/>
      <x:c r="F30" s="2"/>
      <x:c r="G30" s="2"/>
      <x:c r="H30" s="20"/>
      <x:c r="I30" s="22"/>
      <x:c r="J30" s="22"/>
      <x:c r="K30" s="2"/>
      <x:c r="L30" s="2"/>
      <x:c r="M30" s="2"/>
      <x:c r="N30" s="2"/>
      <x:c r="O30" s="2"/>
      <x:c r="P30" s="2"/>
      <x:c r="Q30" s="2"/>
      <x:c r="R30" s="2" t="str">
        <x:f>IFERROR(VLOOKUP($Q30,'Model Scores'!$A$2:$D$100,2,FALSE),70)</x:f>
      </x:c>
      <x:c r="S30" s="2" t="str">
        <x:f>IFERROR(VLOOKUP($Q30,'Model Scores'!$A$2:$D$100,3,FALSE),60)</x:f>
      </x:c>
      <x:c r="T30" s="2" t="str">
        <x:f>IF($C30="","",Inputs!$B$12-$C30)</x:f>
      </x:c>
      <x:c r="U30" s="24" t="str">
        <x:f>IF($H30="","",Inputs!$B$7+IF($C30&lt;=2016,Inputs!$B$8,0)+IF($I30&gt;100000,Inputs!$B$9,0)+IF($I30&gt;120000,Inputs!$B$10,0)+IF($I30&gt;150000,Inputs!$B$11,0))</x:f>
      </x:c>
      <x:c r="V30" s="20" t="str">
        <x:f>IF($H30="","",$H30*(1+Inputs!$B$3)+Inputs!$B$4)</x:f>
      </x:c>
      <x:c r="W30" s="20" t="str">
        <x:f>IF($V30="","",MAX(0,$V30-Inputs!$B$2))</x:f>
      </x:c>
      <x:c r="X30" s="20" t="str">
        <x:f>IF($W30="","",IF($U30=0,$W30/Inputs!$B$6,PMT($U30/12,Inputs!$B$6,-$W30)))</x:f>
      </x:c>
      <x:c r="Y30" s="26" t="str">
        <x:f>IF($X30="","",MAX(0,100-(MAX(0,$X30-Inputs!$B$5)*Inputs!$B$14)))</x:f>
      </x:c>
      <x:c r="Z30" s="26" t="str">
        <x:f>IF($I30="","",IF($I30&lt;=60000,0,IF($I30&lt;=90000,5,IF($I30&lt;=110000,12,IF($I30&lt;=130000,22,IF($I30&lt;=150000,35,50))))))</x:f>
      </x:c>
      <x:c r="AA30" s="26" t="str">
        <x:f>IF($T30="","",IF($T30&lt;=5,0,IF($T30&lt;=8,5,IF($T30&lt;=10,12,IF($T30&lt;=12,20,35)))))</x:f>
      </x:c>
      <x:c r="AB30" s="26" t="str">
        <x:f>IF($J30="","",($K30*18)+IF($L30&gt;=3,10,IF($L30=2,3,0))+IF($M30="Yes",5,0)+IF($N30="Yes",15,0)+IF($O30="Yes",50,0))</x:f>
      </x:c>
      <x:c r="AC30" s="26" t="str">
        <x:f>IF($U30="","",IF($U30&gt;=0.11,20,IF($U30&gt;=0.09,12,IF($U30&gt;=0.075,6,0))))</x:f>
      </x:c>
      <x:c r="AD30" s="26" t="str">
        <x:f>IF($H30="","",ROUND(($R30*0.25)+($S30*0.20)+($Y30*0.25)+((100-$Z30-$AA30-$AB30-$AC30)*0.30),1))</x:f>
      </x:c>
      <x:c r="AE30" s="2" t="str">
        <x:f>IF($AD30="","",IF($O30="Yes","SKIP - title issue",IF($X30&gt;Inputs!$B$5,"OVER BUDGET",IF($AD30&gt;=82,"BUY",IF($AD30&gt;=70,"MAYBE","SKIP")))))</x:f>
      </x:c>
      <x:c r="AF30" s="2"/>
    </x:row>
    <x:row r="31">
      <x:c r="A31" s="2" t="str">
        <x:f>IF($AD31="","",COUNTIF($AD$2:$AD$101,"&gt;"&amp;$AD31)+COUNTIFS($AD$2:$AD31,$AD31))</x:f>
      </x:c>
      <x:c r="B31" s="2"/>
      <x:c r="C31" s="2"/>
      <x:c r="D31" s="2"/>
      <x:c r="E31" s="2"/>
      <x:c r="F31" s="2"/>
      <x:c r="G31" s="2"/>
      <x:c r="H31" s="20"/>
      <x:c r="I31" s="22"/>
      <x:c r="J31" s="22"/>
      <x:c r="K31" s="2"/>
      <x:c r="L31" s="2"/>
      <x:c r="M31" s="2"/>
      <x:c r="N31" s="2"/>
      <x:c r="O31" s="2"/>
      <x:c r="P31" s="2"/>
      <x:c r="Q31" s="2"/>
      <x:c r="R31" s="2" t="str">
        <x:f>IFERROR(VLOOKUP($Q31,'Model Scores'!$A$2:$D$100,2,FALSE),70)</x:f>
      </x:c>
      <x:c r="S31" s="2" t="str">
        <x:f>IFERROR(VLOOKUP($Q31,'Model Scores'!$A$2:$D$100,3,FALSE),60)</x:f>
      </x:c>
      <x:c r="T31" s="2" t="str">
        <x:f>IF($C31="","",Inputs!$B$12-$C31)</x:f>
      </x:c>
      <x:c r="U31" s="24" t="str">
        <x:f>IF($H31="","",Inputs!$B$7+IF($C31&lt;=2016,Inputs!$B$8,0)+IF($I31&gt;100000,Inputs!$B$9,0)+IF($I31&gt;120000,Inputs!$B$10,0)+IF($I31&gt;150000,Inputs!$B$11,0))</x:f>
      </x:c>
      <x:c r="V31" s="20" t="str">
        <x:f>IF($H31="","",$H31*(1+Inputs!$B$3)+Inputs!$B$4)</x:f>
      </x:c>
      <x:c r="W31" s="20" t="str">
        <x:f>IF($V31="","",MAX(0,$V31-Inputs!$B$2))</x:f>
      </x:c>
      <x:c r="X31" s="20" t="str">
        <x:f>IF($W31="","",IF($U31=0,$W31/Inputs!$B$6,PMT($U31/12,Inputs!$B$6,-$W31)))</x:f>
      </x:c>
      <x:c r="Y31" s="26" t="str">
        <x:f>IF($X31="","",MAX(0,100-(MAX(0,$X31-Inputs!$B$5)*Inputs!$B$14)))</x:f>
      </x:c>
      <x:c r="Z31" s="26" t="str">
        <x:f>IF($I31="","",IF($I31&lt;=60000,0,IF($I31&lt;=90000,5,IF($I31&lt;=110000,12,IF($I31&lt;=130000,22,IF($I31&lt;=150000,35,50))))))</x:f>
      </x:c>
      <x:c r="AA31" s="26" t="str">
        <x:f>IF($T31="","",IF($T31&lt;=5,0,IF($T31&lt;=8,5,IF($T31&lt;=10,12,IF($T31&lt;=12,20,35)))))</x:f>
      </x:c>
      <x:c r="AB31" s="26" t="str">
        <x:f>IF($J31="","",($K31*18)+IF($L31&gt;=3,10,IF($L31=2,3,0))+IF($M31="Yes",5,0)+IF($N31="Yes",15,0)+IF($O31="Yes",50,0))</x:f>
      </x:c>
      <x:c r="AC31" s="26" t="str">
        <x:f>IF($U31="","",IF($U31&gt;=0.11,20,IF($U31&gt;=0.09,12,IF($U31&gt;=0.075,6,0))))</x:f>
      </x:c>
      <x:c r="AD31" s="26" t="str">
        <x:f>IF($H31="","",ROUND(($R31*0.25)+($S31*0.20)+($Y31*0.25)+((100-$Z31-$AA31-$AB31-$AC31)*0.30),1))</x:f>
      </x:c>
      <x:c r="AE31" s="2" t="str">
        <x:f>IF($AD31="","",IF($O31="Yes","SKIP - title issue",IF($X31&gt;Inputs!$B$5,"OVER BUDGET",IF($AD31&gt;=82,"BUY",IF($AD31&gt;=70,"MAYBE","SKIP")))))</x:f>
      </x:c>
      <x:c r="AF31" s="2"/>
    </x:row>
    <x:row r="32">
      <x:c r="A32" s="2" t="str">
        <x:f>IF($AD32="","",COUNTIF($AD$2:$AD$101,"&gt;"&amp;$AD32)+COUNTIFS($AD$2:$AD32,$AD32))</x:f>
      </x:c>
      <x:c r="B32" s="2"/>
      <x:c r="C32" s="2"/>
      <x:c r="D32" s="2"/>
      <x:c r="E32" s="2"/>
      <x:c r="F32" s="2"/>
      <x:c r="G32" s="2"/>
      <x:c r="H32" s="20"/>
      <x:c r="I32" s="22"/>
      <x:c r="J32" s="22"/>
      <x:c r="K32" s="2"/>
      <x:c r="L32" s="2"/>
      <x:c r="M32" s="2"/>
      <x:c r="N32" s="2"/>
      <x:c r="O32" s="2"/>
      <x:c r="P32" s="2"/>
      <x:c r="Q32" s="2"/>
      <x:c r="R32" s="2" t="str">
        <x:f>IFERROR(VLOOKUP($Q32,'Model Scores'!$A$2:$D$100,2,FALSE),70)</x:f>
      </x:c>
      <x:c r="S32" s="2" t="str">
        <x:f>IFERROR(VLOOKUP($Q32,'Model Scores'!$A$2:$D$100,3,FALSE),60)</x:f>
      </x:c>
      <x:c r="T32" s="2" t="str">
        <x:f>IF($C32="","",Inputs!$B$12-$C32)</x:f>
      </x:c>
      <x:c r="U32" s="24" t="str">
        <x:f>IF($H32="","",Inputs!$B$7+IF($C32&lt;=2016,Inputs!$B$8,0)+IF($I32&gt;100000,Inputs!$B$9,0)+IF($I32&gt;120000,Inputs!$B$10,0)+IF($I32&gt;150000,Inputs!$B$11,0))</x:f>
      </x:c>
      <x:c r="V32" s="20" t="str">
        <x:f>IF($H32="","",$H32*(1+Inputs!$B$3)+Inputs!$B$4)</x:f>
      </x:c>
      <x:c r="W32" s="20" t="str">
        <x:f>IF($V32="","",MAX(0,$V32-Inputs!$B$2))</x:f>
      </x:c>
      <x:c r="X32" s="20" t="str">
        <x:f>IF($W32="","",IF($U32=0,$W32/Inputs!$B$6,PMT($U32/12,Inputs!$B$6,-$W32)))</x:f>
      </x:c>
      <x:c r="Y32" s="26" t="str">
        <x:f>IF($X32="","",MAX(0,100-(MAX(0,$X32-Inputs!$B$5)*Inputs!$B$14)))</x:f>
      </x:c>
      <x:c r="Z32" s="26" t="str">
        <x:f>IF($I32="","",IF($I32&lt;=60000,0,IF($I32&lt;=90000,5,IF($I32&lt;=110000,12,IF($I32&lt;=130000,22,IF($I32&lt;=150000,35,50))))))</x:f>
      </x:c>
      <x:c r="AA32" s="26" t="str">
        <x:f>IF($T32="","",IF($T32&lt;=5,0,IF($T32&lt;=8,5,IF($T32&lt;=10,12,IF($T32&lt;=12,20,35)))))</x:f>
      </x:c>
      <x:c r="AB32" s="26" t="str">
        <x:f>IF($J32="","",($K32*18)+IF($L32&gt;=3,10,IF($L32=2,3,0))+IF($M32="Yes",5,0)+IF($N32="Yes",15,0)+IF($O32="Yes",50,0))</x:f>
      </x:c>
      <x:c r="AC32" s="26" t="str">
        <x:f>IF($U32="","",IF($U32&gt;=0.11,20,IF($U32&gt;=0.09,12,IF($U32&gt;=0.075,6,0))))</x:f>
      </x:c>
      <x:c r="AD32" s="26" t="str">
        <x:f>IF($H32="","",ROUND(($R32*0.25)+($S32*0.20)+($Y32*0.25)+((100-$Z32-$AA32-$AB32-$AC32)*0.30),1))</x:f>
      </x:c>
      <x:c r="AE32" s="2" t="str">
        <x:f>IF($AD32="","",IF($O32="Yes","SKIP - title issue",IF($X32&gt;Inputs!$B$5,"OVER BUDGET",IF($AD32&gt;=82,"BUY",IF($AD32&gt;=70,"MAYBE","SKIP")))))</x:f>
      </x:c>
      <x:c r="AF32" s="2"/>
    </x:row>
    <x:row r="33">
      <x:c r="A33" s="2" t="str">
        <x:f>IF($AD33="","",COUNTIF($AD$2:$AD$101,"&gt;"&amp;$AD33)+COUNTIFS($AD$2:$AD33,$AD33))</x:f>
      </x:c>
      <x:c r="B33" s="2"/>
      <x:c r="C33" s="2"/>
      <x:c r="D33" s="2"/>
      <x:c r="E33" s="2"/>
      <x:c r="F33" s="2"/>
      <x:c r="G33" s="2"/>
      <x:c r="H33" s="20"/>
      <x:c r="I33" s="22"/>
      <x:c r="J33" s="22"/>
      <x:c r="K33" s="2"/>
      <x:c r="L33" s="2"/>
      <x:c r="M33" s="2"/>
      <x:c r="N33" s="2"/>
      <x:c r="O33" s="2"/>
      <x:c r="P33" s="2"/>
      <x:c r="Q33" s="2"/>
      <x:c r="R33" s="2" t="str">
        <x:f>IFERROR(VLOOKUP($Q33,'Model Scores'!$A$2:$D$100,2,FALSE),70)</x:f>
      </x:c>
      <x:c r="S33" s="2" t="str">
        <x:f>IFERROR(VLOOKUP($Q33,'Model Scores'!$A$2:$D$100,3,FALSE),60)</x:f>
      </x:c>
      <x:c r="T33" s="2" t="str">
        <x:f>IF($C33="","",Inputs!$B$12-$C33)</x:f>
      </x:c>
      <x:c r="U33" s="24" t="str">
        <x:f>IF($H33="","",Inputs!$B$7+IF($C33&lt;=2016,Inputs!$B$8,0)+IF($I33&gt;100000,Inputs!$B$9,0)+IF($I33&gt;120000,Inputs!$B$10,0)+IF($I33&gt;150000,Inputs!$B$11,0))</x:f>
      </x:c>
      <x:c r="V33" s="20" t="str">
        <x:f>IF($H33="","",$H33*(1+Inputs!$B$3)+Inputs!$B$4)</x:f>
      </x:c>
      <x:c r="W33" s="20" t="str">
        <x:f>IF($V33="","",MAX(0,$V33-Inputs!$B$2))</x:f>
      </x:c>
      <x:c r="X33" s="20" t="str">
        <x:f>IF($W33="","",IF($U33=0,$W33/Inputs!$B$6,PMT($U33/12,Inputs!$B$6,-$W33)))</x:f>
      </x:c>
      <x:c r="Y33" s="26" t="str">
        <x:f>IF($X33="","",MAX(0,100-(MAX(0,$X33-Inputs!$B$5)*Inputs!$B$14)))</x:f>
      </x:c>
      <x:c r="Z33" s="26" t="str">
        <x:f>IF($I33="","",IF($I33&lt;=60000,0,IF($I33&lt;=90000,5,IF($I33&lt;=110000,12,IF($I33&lt;=130000,22,IF($I33&lt;=150000,35,50))))))</x:f>
      </x:c>
      <x:c r="AA33" s="26" t="str">
        <x:f>IF($T33="","",IF($T33&lt;=5,0,IF($T33&lt;=8,5,IF($T33&lt;=10,12,IF($T33&lt;=12,20,35)))))</x:f>
      </x:c>
      <x:c r="AB33" s="26" t="str">
        <x:f>IF($J33="","",($K33*18)+IF($L33&gt;=3,10,IF($L33=2,3,0))+IF($M33="Yes",5,0)+IF($N33="Yes",15,0)+IF($O33="Yes",50,0))</x:f>
      </x:c>
      <x:c r="AC33" s="26" t="str">
        <x:f>IF($U33="","",IF($U33&gt;=0.11,20,IF($U33&gt;=0.09,12,IF($U33&gt;=0.075,6,0))))</x:f>
      </x:c>
      <x:c r="AD33" s="26" t="str">
        <x:f>IF($H33="","",ROUND(($R33*0.25)+($S33*0.20)+($Y33*0.25)+((100-$Z33-$AA33-$AB33-$AC33)*0.30),1))</x:f>
      </x:c>
      <x:c r="AE33" s="2" t="str">
        <x:f>IF($AD33="","",IF($O33="Yes","SKIP - title issue",IF($X33&gt;Inputs!$B$5,"OVER BUDGET",IF($AD33&gt;=82,"BUY",IF($AD33&gt;=70,"MAYBE","SKIP")))))</x:f>
      </x:c>
      <x:c r="AF33" s="2"/>
    </x:row>
    <x:row r="34">
      <x:c r="A34" s="2" t="str">
        <x:f>IF($AD34="","",COUNTIF($AD$2:$AD$101,"&gt;"&amp;$AD34)+COUNTIFS($AD$2:$AD34,$AD34))</x:f>
      </x:c>
      <x:c r="B34" s="2"/>
      <x:c r="C34" s="2"/>
      <x:c r="D34" s="2"/>
      <x:c r="E34" s="2"/>
      <x:c r="F34" s="2"/>
      <x:c r="G34" s="2"/>
      <x:c r="H34" s="20"/>
      <x:c r="I34" s="22"/>
      <x:c r="J34" s="22"/>
      <x:c r="K34" s="2"/>
      <x:c r="L34" s="2"/>
      <x:c r="M34" s="2"/>
      <x:c r="N34" s="2"/>
      <x:c r="O34" s="2"/>
      <x:c r="P34" s="2"/>
      <x:c r="Q34" s="2"/>
      <x:c r="R34" s="2" t="str">
        <x:f>IFERROR(VLOOKUP($Q34,'Model Scores'!$A$2:$D$100,2,FALSE),70)</x:f>
      </x:c>
      <x:c r="S34" s="2" t="str">
        <x:f>IFERROR(VLOOKUP($Q34,'Model Scores'!$A$2:$D$100,3,FALSE),60)</x:f>
      </x:c>
      <x:c r="T34" s="2" t="str">
        <x:f>IF($C34="","",Inputs!$B$12-$C34)</x:f>
      </x:c>
      <x:c r="U34" s="24" t="str">
        <x:f>IF($H34="","",Inputs!$B$7+IF($C34&lt;=2016,Inputs!$B$8,0)+IF($I34&gt;100000,Inputs!$B$9,0)+IF($I34&gt;120000,Inputs!$B$10,0)+IF($I34&gt;150000,Inputs!$B$11,0))</x:f>
      </x:c>
      <x:c r="V34" s="20" t="str">
        <x:f>IF($H34="","",$H34*(1+Inputs!$B$3)+Inputs!$B$4)</x:f>
      </x:c>
      <x:c r="W34" s="20" t="str">
        <x:f>IF($V34="","",MAX(0,$V34-Inputs!$B$2))</x:f>
      </x:c>
      <x:c r="X34" s="20" t="str">
        <x:f>IF($W34="","",IF($U34=0,$W34/Inputs!$B$6,PMT($U34/12,Inputs!$B$6,-$W34)))</x:f>
      </x:c>
      <x:c r="Y34" s="26" t="str">
        <x:f>IF($X34="","",MAX(0,100-(MAX(0,$X34-Inputs!$B$5)*Inputs!$B$14)))</x:f>
      </x:c>
      <x:c r="Z34" s="26" t="str">
        <x:f>IF($I34="","",IF($I34&lt;=60000,0,IF($I34&lt;=90000,5,IF($I34&lt;=110000,12,IF($I34&lt;=130000,22,IF($I34&lt;=150000,35,50))))))</x:f>
      </x:c>
      <x:c r="AA34" s="26" t="str">
        <x:f>IF($T34="","",IF($T34&lt;=5,0,IF($T34&lt;=8,5,IF($T34&lt;=10,12,IF($T34&lt;=12,20,35)))))</x:f>
      </x:c>
      <x:c r="AB34" s="26" t="str">
        <x:f>IF($J34="","",($K34*18)+IF($L34&gt;=3,10,IF($L34=2,3,0))+IF($M34="Yes",5,0)+IF($N34="Yes",15,0)+IF($O34="Yes",50,0))</x:f>
      </x:c>
      <x:c r="AC34" s="26" t="str">
        <x:f>IF($U34="","",IF($U34&gt;=0.11,20,IF($U34&gt;=0.09,12,IF($U34&gt;=0.075,6,0))))</x:f>
      </x:c>
      <x:c r="AD34" s="26" t="str">
        <x:f>IF($H34="","",ROUND(($R34*0.25)+($S34*0.20)+($Y34*0.25)+((100-$Z34-$AA34-$AB34-$AC34)*0.30),1))</x:f>
      </x:c>
      <x:c r="AE34" s="2" t="str">
        <x:f>IF($AD34="","",IF($O34="Yes","SKIP - title issue",IF($X34&gt;Inputs!$B$5,"OVER BUDGET",IF($AD34&gt;=82,"BUY",IF($AD34&gt;=70,"MAYBE","SKIP")))))</x:f>
      </x:c>
      <x:c r="AF34" s="2"/>
    </x:row>
    <x:row r="35">
      <x:c r="A35" s="2" t="str">
        <x:f>IF($AD35="","",COUNTIF($AD$2:$AD$101,"&gt;"&amp;$AD35)+COUNTIFS($AD$2:$AD35,$AD35))</x:f>
      </x:c>
      <x:c r="B35" s="2"/>
      <x:c r="C35" s="2"/>
      <x:c r="D35" s="2"/>
      <x:c r="E35" s="2"/>
      <x:c r="F35" s="2"/>
      <x:c r="G35" s="2"/>
      <x:c r="H35" s="20"/>
      <x:c r="I35" s="22"/>
      <x:c r="J35" s="22"/>
      <x:c r="K35" s="2"/>
      <x:c r="L35" s="2"/>
      <x:c r="M35" s="2"/>
      <x:c r="N35" s="2"/>
      <x:c r="O35" s="2"/>
      <x:c r="P35" s="2"/>
      <x:c r="Q35" s="2"/>
      <x:c r="R35" s="2" t="str">
        <x:f>IFERROR(VLOOKUP($Q35,'Model Scores'!$A$2:$D$100,2,FALSE),70)</x:f>
      </x:c>
      <x:c r="S35" s="2" t="str">
        <x:f>IFERROR(VLOOKUP($Q35,'Model Scores'!$A$2:$D$100,3,FALSE),60)</x:f>
      </x:c>
      <x:c r="T35" s="2" t="str">
        <x:f>IF($C35="","",Inputs!$B$12-$C35)</x:f>
      </x:c>
      <x:c r="U35" s="24" t="str">
        <x:f>IF($H35="","",Inputs!$B$7+IF($C35&lt;=2016,Inputs!$B$8,0)+IF($I35&gt;100000,Inputs!$B$9,0)+IF($I35&gt;120000,Inputs!$B$10,0)+IF($I35&gt;150000,Inputs!$B$11,0))</x:f>
      </x:c>
      <x:c r="V35" s="20" t="str">
        <x:f>IF($H35="","",$H35*(1+Inputs!$B$3)+Inputs!$B$4)</x:f>
      </x:c>
      <x:c r="W35" s="20" t="str">
        <x:f>IF($V35="","",MAX(0,$V35-Inputs!$B$2))</x:f>
      </x:c>
      <x:c r="X35" s="20" t="str">
        <x:f>IF($W35="","",IF($U35=0,$W35/Inputs!$B$6,PMT($U35/12,Inputs!$B$6,-$W35)))</x:f>
      </x:c>
      <x:c r="Y35" s="26" t="str">
        <x:f>IF($X35="","",MAX(0,100-(MAX(0,$X35-Inputs!$B$5)*Inputs!$B$14)))</x:f>
      </x:c>
      <x:c r="Z35" s="26" t="str">
        <x:f>IF($I35="","",IF($I35&lt;=60000,0,IF($I35&lt;=90000,5,IF($I35&lt;=110000,12,IF($I35&lt;=130000,22,IF($I35&lt;=150000,35,50))))))</x:f>
      </x:c>
      <x:c r="AA35" s="26" t="str">
        <x:f>IF($T35="","",IF($T35&lt;=5,0,IF($T35&lt;=8,5,IF($T35&lt;=10,12,IF($T35&lt;=12,20,35)))))</x:f>
      </x:c>
      <x:c r="AB35" s="26" t="str">
        <x:f>IF($J35="","",($K35*18)+IF($L35&gt;=3,10,IF($L35=2,3,0))+IF($M35="Yes",5,0)+IF($N35="Yes",15,0)+IF($O35="Yes",50,0))</x:f>
      </x:c>
      <x:c r="AC35" s="26" t="str">
        <x:f>IF($U35="","",IF($U35&gt;=0.11,20,IF($U35&gt;=0.09,12,IF($U35&gt;=0.075,6,0))))</x:f>
      </x:c>
      <x:c r="AD35" s="26" t="str">
        <x:f>IF($H35="","",ROUND(($R35*0.25)+($S35*0.20)+($Y35*0.25)+((100-$Z35-$AA35-$AB35-$AC35)*0.30),1))</x:f>
      </x:c>
      <x:c r="AE35" s="2" t="str">
        <x:f>IF($AD35="","",IF($O35="Yes","SKIP - title issue",IF($X35&gt;Inputs!$B$5,"OVER BUDGET",IF($AD35&gt;=82,"BUY",IF($AD35&gt;=70,"MAYBE","SKIP")))))</x:f>
      </x:c>
      <x:c r="AF35" s="2"/>
    </x:row>
    <x:row r="36">
      <x:c r="A36" s="2" t="str">
        <x:f>IF($AD36="","",COUNTIF($AD$2:$AD$101,"&gt;"&amp;$AD36)+COUNTIFS($AD$2:$AD36,$AD36))</x:f>
      </x:c>
      <x:c r="B36" s="2"/>
      <x:c r="C36" s="2"/>
      <x:c r="D36" s="2"/>
      <x:c r="E36" s="2"/>
      <x:c r="F36" s="2"/>
      <x:c r="G36" s="2"/>
      <x:c r="H36" s="20"/>
      <x:c r="I36" s="22"/>
      <x:c r="J36" s="22"/>
      <x:c r="K36" s="2"/>
      <x:c r="L36" s="2"/>
      <x:c r="M36" s="2"/>
      <x:c r="N36" s="2"/>
      <x:c r="O36" s="2"/>
      <x:c r="P36" s="2"/>
      <x:c r="Q36" s="2"/>
      <x:c r="R36" s="2" t="str">
        <x:f>IFERROR(VLOOKUP($Q36,'Model Scores'!$A$2:$D$100,2,FALSE),70)</x:f>
      </x:c>
      <x:c r="S36" s="2" t="str">
        <x:f>IFERROR(VLOOKUP($Q36,'Model Scores'!$A$2:$D$100,3,FALSE),60)</x:f>
      </x:c>
      <x:c r="T36" s="2" t="str">
        <x:f>IF($C36="","",Inputs!$B$12-$C36)</x:f>
      </x:c>
      <x:c r="U36" s="24" t="str">
        <x:f>IF($H36="","",Inputs!$B$7+IF($C36&lt;=2016,Inputs!$B$8,0)+IF($I36&gt;100000,Inputs!$B$9,0)+IF($I36&gt;120000,Inputs!$B$10,0)+IF($I36&gt;150000,Inputs!$B$11,0))</x:f>
      </x:c>
      <x:c r="V36" s="20" t="str">
        <x:f>IF($H36="","",$H36*(1+Inputs!$B$3)+Inputs!$B$4)</x:f>
      </x:c>
      <x:c r="W36" s="20" t="str">
        <x:f>IF($V36="","",MAX(0,$V36-Inputs!$B$2))</x:f>
      </x:c>
      <x:c r="X36" s="20" t="str">
        <x:f>IF($W36="","",IF($U36=0,$W36/Inputs!$B$6,PMT($U36/12,Inputs!$B$6,-$W36)))</x:f>
      </x:c>
      <x:c r="Y36" s="26" t="str">
        <x:f>IF($X36="","",MAX(0,100-(MAX(0,$X36-Inputs!$B$5)*Inputs!$B$14)))</x:f>
      </x:c>
      <x:c r="Z36" s="26" t="str">
        <x:f>IF($I36="","",IF($I36&lt;=60000,0,IF($I36&lt;=90000,5,IF($I36&lt;=110000,12,IF($I36&lt;=130000,22,IF($I36&lt;=150000,35,50))))))</x:f>
      </x:c>
      <x:c r="AA36" s="26" t="str">
        <x:f>IF($T36="","",IF($T36&lt;=5,0,IF($T36&lt;=8,5,IF($T36&lt;=10,12,IF($T36&lt;=12,20,35)))))</x:f>
      </x:c>
      <x:c r="AB36" s="26" t="str">
        <x:f>IF($J36="","",($K36*18)+IF($L36&gt;=3,10,IF($L36=2,3,0))+IF($M36="Yes",5,0)+IF($N36="Yes",15,0)+IF($O36="Yes",50,0))</x:f>
      </x:c>
      <x:c r="AC36" s="26" t="str">
        <x:f>IF($U36="","",IF($U36&gt;=0.11,20,IF($U36&gt;=0.09,12,IF($U36&gt;=0.075,6,0))))</x:f>
      </x:c>
      <x:c r="AD36" s="26" t="str">
        <x:f>IF($H36="","",ROUND(($R36*0.25)+($S36*0.20)+($Y36*0.25)+((100-$Z36-$AA36-$AB36-$AC36)*0.30),1))</x:f>
      </x:c>
      <x:c r="AE36" s="2" t="str">
        <x:f>IF($AD36="","",IF($O36="Yes","SKIP - title issue",IF($X36&gt;Inputs!$B$5,"OVER BUDGET",IF($AD36&gt;=82,"BUY",IF($AD36&gt;=70,"MAYBE","SKIP")))))</x:f>
      </x:c>
      <x:c r="AF36" s="2"/>
    </x:row>
    <x:row r="37">
      <x:c r="A37" s="2" t="str">
        <x:f>IF($AD37="","",COUNTIF($AD$2:$AD$101,"&gt;"&amp;$AD37)+COUNTIFS($AD$2:$AD37,$AD37))</x:f>
      </x:c>
      <x:c r="B37" s="2"/>
      <x:c r="C37" s="2"/>
      <x:c r="D37" s="2"/>
      <x:c r="E37" s="2"/>
      <x:c r="F37" s="2"/>
      <x:c r="G37" s="2"/>
      <x:c r="H37" s="20"/>
      <x:c r="I37" s="22"/>
      <x:c r="J37" s="22"/>
      <x:c r="K37" s="2"/>
      <x:c r="L37" s="2"/>
      <x:c r="M37" s="2"/>
      <x:c r="N37" s="2"/>
      <x:c r="O37" s="2"/>
      <x:c r="P37" s="2"/>
      <x:c r="Q37" s="2"/>
      <x:c r="R37" s="2" t="str">
        <x:f>IFERROR(VLOOKUP($Q37,'Model Scores'!$A$2:$D$100,2,FALSE),70)</x:f>
      </x:c>
      <x:c r="S37" s="2" t="str">
        <x:f>IFERROR(VLOOKUP($Q37,'Model Scores'!$A$2:$D$100,3,FALSE),60)</x:f>
      </x:c>
      <x:c r="T37" s="2" t="str">
        <x:f>IF($C37="","",Inputs!$B$12-$C37)</x:f>
      </x:c>
      <x:c r="U37" s="24" t="str">
        <x:f>IF($H37="","",Inputs!$B$7+IF($C37&lt;=2016,Inputs!$B$8,0)+IF($I37&gt;100000,Inputs!$B$9,0)+IF($I37&gt;120000,Inputs!$B$10,0)+IF($I37&gt;150000,Inputs!$B$11,0))</x:f>
      </x:c>
      <x:c r="V37" s="20" t="str">
        <x:f>IF($H37="","",$H37*(1+Inputs!$B$3)+Inputs!$B$4)</x:f>
      </x:c>
      <x:c r="W37" s="20" t="str">
        <x:f>IF($V37="","",MAX(0,$V37-Inputs!$B$2))</x:f>
      </x:c>
      <x:c r="X37" s="20" t="str">
        <x:f>IF($W37="","",IF($U37=0,$W37/Inputs!$B$6,PMT($U37/12,Inputs!$B$6,-$W37)))</x:f>
      </x:c>
      <x:c r="Y37" s="26" t="str">
        <x:f>IF($X37="","",MAX(0,100-(MAX(0,$X37-Inputs!$B$5)*Inputs!$B$14)))</x:f>
      </x:c>
      <x:c r="Z37" s="26" t="str">
        <x:f>IF($I37="","",IF($I37&lt;=60000,0,IF($I37&lt;=90000,5,IF($I37&lt;=110000,12,IF($I37&lt;=130000,22,IF($I37&lt;=150000,35,50))))))</x:f>
      </x:c>
      <x:c r="AA37" s="26" t="str">
        <x:f>IF($T37="","",IF($T37&lt;=5,0,IF($T37&lt;=8,5,IF($T37&lt;=10,12,IF($T37&lt;=12,20,35)))))</x:f>
      </x:c>
      <x:c r="AB37" s="26" t="str">
        <x:f>IF($J37="","",($K37*18)+IF($L37&gt;=3,10,IF($L37=2,3,0))+IF($M37="Yes",5,0)+IF($N37="Yes",15,0)+IF($O37="Yes",50,0))</x:f>
      </x:c>
      <x:c r="AC37" s="26" t="str">
        <x:f>IF($U37="","",IF($U37&gt;=0.11,20,IF($U37&gt;=0.09,12,IF($U37&gt;=0.075,6,0))))</x:f>
      </x:c>
      <x:c r="AD37" s="26" t="str">
        <x:f>IF($H37="","",ROUND(($R37*0.25)+($S37*0.20)+($Y37*0.25)+((100-$Z37-$AA37-$AB37-$AC37)*0.30),1))</x:f>
      </x:c>
      <x:c r="AE37" s="2" t="str">
        <x:f>IF($AD37="","",IF($O37="Yes","SKIP - title issue",IF($X37&gt;Inputs!$B$5,"OVER BUDGET",IF($AD37&gt;=82,"BUY",IF($AD37&gt;=70,"MAYBE","SKIP")))))</x:f>
      </x:c>
      <x:c r="AF37" s="2"/>
    </x:row>
    <x:row r="38">
      <x:c r="A38" s="2" t="str">
        <x:f>IF($AD38="","",COUNTIF($AD$2:$AD$101,"&gt;"&amp;$AD38)+COUNTIFS($AD$2:$AD38,$AD38))</x:f>
      </x:c>
      <x:c r="B38" s="2"/>
      <x:c r="C38" s="2"/>
      <x:c r="D38" s="2"/>
      <x:c r="E38" s="2"/>
      <x:c r="F38" s="2"/>
      <x:c r="G38" s="2"/>
      <x:c r="H38" s="20"/>
      <x:c r="I38" s="22"/>
      <x:c r="J38" s="22"/>
      <x:c r="K38" s="2"/>
      <x:c r="L38" s="2"/>
      <x:c r="M38" s="2"/>
      <x:c r="N38" s="2"/>
      <x:c r="O38" s="2"/>
      <x:c r="P38" s="2"/>
      <x:c r="Q38" s="2"/>
      <x:c r="R38" s="2" t="str">
        <x:f>IFERROR(VLOOKUP($Q38,'Model Scores'!$A$2:$D$100,2,FALSE),70)</x:f>
      </x:c>
      <x:c r="S38" s="2" t="str">
        <x:f>IFERROR(VLOOKUP($Q38,'Model Scores'!$A$2:$D$100,3,FALSE),60)</x:f>
      </x:c>
      <x:c r="T38" s="2" t="str">
        <x:f>IF($C38="","",Inputs!$B$12-$C38)</x:f>
      </x:c>
      <x:c r="U38" s="24" t="str">
        <x:f>IF($H38="","",Inputs!$B$7+IF($C38&lt;=2016,Inputs!$B$8,0)+IF($I38&gt;100000,Inputs!$B$9,0)+IF($I38&gt;120000,Inputs!$B$10,0)+IF($I38&gt;150000,Inputs!$B$11,0))</x:f>
      </x:c>
      <x:c r="V38" s="20" t="str">
        <x:f>IF($H38="","",$H38*(1+Inputs!$B$3)+Inputs!$B$4)</x:f>
      </x:c>
      <x:c r="W38" s="20" t="str">
        <x:f>IF($V38="","",MAX(0,$V38-Inputs!$B$2))</x:f>
      </x:c>
      <x:c r="X38" s="20" t="str">
        <x:f>IF($W38="","",IF($U38=0,$W38/Inputs!$B$6,PMT($U38/12,Inputs!$B$6,-$W38)))</x:f>
      </x:c>
      <x:c r="Y38" s="26" t="str">
        <x:f>IF($X38="","",MAX(0,100-(MAX(0,$X38-Inputs!$B$5)*Inputs!$B$14)))</x:f>
      </x:c>
      <x:c r="Z38" s="26" t="str">
        <x:f>IF($I38="","",IF($I38&lt;=60000,0,IF($I38&lt;=90000,5,IF($I38&lt;=110000,12,IF($I38&lt;=130000,22,IF($I38&lt;=150000,35,50))))))</x:f>
      </x:c>
      <x:c r="AA38" s="26" t="str">
        <x:f>IF($T38="","",IF($T38&lt;=5,0,IF($T38&lt;=8,5,IF($T38&lt;=10,12,IF($T38&lt;=12,20,35)))))</x:f>
      </x:c>
      <x:c r="AB38" s="26" t="str">
        <x:f>IF($J38="","",($K38*18)+IF($L38&gt;=3,10,IF($L38=2,3,0))+IF($M38="Yes",5,0)+IF($N38="Yes",15,0)+IF($O38="Yes",50,0))</x:f>
      </x:c>
      <x:c r="AC38" s="26" t="str">
        <x:f>IF($U38="","",IF($U38&gt;=0.11,20,IF($U38&gt;=0.09,12,IF($U38&gt;=0.075,6,0))))</x:f>
      </x:c>
      <x:c r="AD38" s="26" t="str">
        <x:f>IF($H38="","",ROUND(($R38*0.25)+($S38*0.20)+($Y38*0.25)+((100-$Z38-$AA38-$AB38-$AC38)*0.30),1))</x:f>
      </x:c>
      <x:c r="AE38" s="2" t="str">
        <x:f>IF($AD38="","",IF($O38="Yes","SKIP - title issue",IF($X38&gt;Inputs!$B$5,"OVER BUDGET",IF($AD38&gt;=82,"BUY",IF($AD38&gt;=70,"MAYBE","SKIP")))))</x:f>
      </x:c>
      <x:c r="AF38" s="2"/>
    </x:row>
    <x:row r="39">
      <x:c r="A39" s="2" t="str">
        <x:f>IF($AD39="","",COUNTIF($AD$2:$AD$101,"&gt;"&amp;$AD39)+COUNTIFS($AD$2:$AD39,$AD39))</x:f>
      </x:c>
      <x:c r="B39" s="2"/>
      <x:c r="C39" s="2"/>
      <x:c r="D39" s="2"/>
      <x:c r="E39" s="2"/>
      <x:c r="F39" s="2"/>
      <x:c r="G39" s="2"/>
      <x:c r="H39" s="20"/>
      <x:c r="I39" s="22"/>
      <x:c r="J39" s="22"/>
      <x:c r="K39" s="2"/>
      <x:c r="L39" s="2"/>
      <x:c r="M39" s="2"/>
      <x:c r="N39" s="2"/>
      <x:c r="O39" s="2"/>
      <x:c r="P39" s="2"/>
      <x:c r="Q39" s="2"/>
      <x:c r="R39" s="2" t="str">
        <x:f>IFERROR(VLOOKUP($Q39,'Model Scores'!$A$2:$D$100,2,FALSE),70)</x:f>
      </x:c>
      <x:c r="S39" s="2" t="str">
        <x:f>IFERROR(VLOOKUP($Q39,'Model Scores'!$A$2:$D$100,3,FALSE),60)</x:f>
      </x:c>
      <x:c r="T39" s="2" t="str">
        <x:f>IF($C39="","",Inputs!$B$12-$C39)</x:f>
      </x:c>
      <x:c r="U39" s="24" t="str">
        <x:f>IF($H39="","",Inputs!$B$7+IF($C39&lt;=2016,Inputs!$B$8,0)+IF($I39&gt;100000,Inputs!$B$9,0)+IF($I39&gt;120000,Inputs!$B$10,0)+IF($I39&gt;150000,Inputs!$B$11,0))</x:f>
      </x:c>
      <x:c r="V39" s="20" t="str">
        <x:f>IF($H39="","",$H39*(1+Inputs!$B$3)+Inputs!$B$4)</x:f>
      </x:c>
      <x:c r="W39" s="20" t="str">
        <x:f>IF($V39="","",MAX(0,$V39-Inputs!$B$2))</x:f>
      </x:c>
      <x:c r="X39" s="20" t="str">
        <x:f>IF($W39="","",IF($U39=0,$W39/Inputs!$B$6,PMT($U39/12,Inputs!$B$6,-$W39)))</x:f>
      </x:c>
      <x:c r="Y39" s="26" t="str">
        <x:f>IF($X39="","",MAX(0,100-(MAX(0,$X39-Inputs!$B$5)*Inputs!$B$14)))</x:f>
      </x:c>
      <x:c r="Z39" s="26" t="str">
        <x:f>IF($I39="","",IF($I39&lt;=60000,0,IF($I39&lt;=90000,5,IF($I39&lt;=110000,12,IF($I39&lt;=130000,22,IF($I39&lt;=150000,35,50))))))</x:f>
      </x:c>
      <x:c r="AA39" s="26" t="str">
        <x:f>IF($T39="","",IF($T39&lt;=5,0,IF($T39&lt;=8,5,IF($T39&lt;=10,12,IF($T39&lt;=12,20,35)))))</x:f>
      </x:c>
      <x:c r="AB39" s="26" t="str">
        <x:f>IF($J39="","",($K39*18)+IF($L39&gt;=3,10,IF($L39=2,3,0))+IF($M39="Yes",5,0)+IF($N39="Yes",15,0)+IF($O39="Yes",50,0))</x:f>
      </x:c>
      <x:c r="AC39" s="26" t="str">
        <x:f>IF($U39="","",IF($U39&gt;=0.11,20,IF($U39&gt;=0.09,12,IF($U39&gt;=0.075,6,0))))</x:f>
      </x:c>
      <x:c r="AD39" s="26" t="str">
        <x:f>IF($H39="","",ROUND(($R39*0.25)+($S39*0.20)+($Y39*0.25)+((100-$Z39-$AA39-$AB39-$AC39)*0.30),1))</x:f>
      </x:c>
      <x:c r="AE39" s="2" t="str">
        <x:f>IF($AD39="","",IF($O39="Yes","SKIP - title issue",IF($X39&gt;Inputs!$B$5,"OVER BUDGET",IF($AD39&gt;=82,"BUY",IF($AD39&gt;=70,"MAYBE","SKIP")))))</x:f>
      </x:c>
      <x:c r="AF39" s="2"/>
    </x:row>
    <x:row r="40">
      <x:c r="A40" s="2" t="str">
        <x:f>IF($AD40="","",COUNTIF($AD$2:$AD$101,"&gt;"&amp;$AD40)+COUNTIFS($AD$2:$AD40,$AD40))</x:f>
      </x:c>
      <x:c r="B40" s="2"/>
      <x:c r="C40" s="2"/>
      <x:c r="D40" s="2"/>
      <x:c r="E40" s="2"/>
      <x:c r="F40" s="2"/>
      <x:c r="G40" s="2"/>
      <x:c r="H40" s="20"/>
      <x:c r="I40" s="22"/>
      <x:c r="J40" s="22"/>
      <x:c r="K40" s="2"/>
      <x:c r="L40" s="2"/>
      <x:c r="M40" s="2"/>
      <x:c r="N40" s="2"/>
      <x:c r="O40" s="2"/>
      <x:c r="P40" s="2"/>
      <x:c r="Q40" s="2"/>
      <x:c r="R40" s="2" t="str">
        <x:f>IFERROR(VLOOKUP($Q40,'Model Scores'!$A$2:$D$100,2,FALSE),70)</x:f>
      </x:c>
      <x:c r="S40" s="2" t="str">
        <x:f>IFERROR(VLOOKUP($Q40,'Model Scores'!$A$2:$D$100,3,FALSE),60)</x:f>
      </x:c>
      <x:c r="T40" s="2" t="str">
        <x:f>IF($C40="","",Inputs!$B$12-$C40)</x:f>
      </x:c>
      <x:c r="U40" s="24" t="str">
        <x:f>IF($H40="","",Inputs!$B$7+IF($C40&lt;=2016,Inputs!$B$8,0)+IF($I40&gt;100000,Inputs!$B$9,0)+IF($I40&gt;120000,Inputs!$B$10,0)+IF($I40&gt;150000,Inputs!$B$11,0))</x:f>
      </x:c>
      <x:c r="V40" s="20" t="str">
        <x:f>IF($H40="","",$H40*(1+Inputs!$B$3)+Inputs!$B$4)</x:f>
      </x:c>
      <x:c r="W40" s="20" t="str">
        <x:f>IF($V40="","",MAX(0,$V40-Inputs!$B$2))</x:f>
      </x:c>
      <x:c r="X40" s="20" t="str">
        <x:f>IF($W40="","",IF($U40=0,$W40/Inputs!$B$6,PMT($U40/12,Inputs!$B$6,-$W40)))</x:f>
      </x:c>
      <x:c r="Y40" s="26" t="str">
        <x:f>IF($X40="","",MAX(0,100-(MAX(0,$X40-Inputs!$B$5)*Inputs!$B$14)))</x:f>
      </x:c>
      <x:c r="Z40" s="26" t="str">
        <x:f>IF($I40="","",IF($I40&lt;=60000,0,IF($I40&lt;=90000,5,IF($I40&lt;=110000,12,IF($I40&lt;=130000,22,IF($I40&lt;=150000,35,50))))))</x:f>
      </x:c>
      <x:c r="AA40" s="26" t="str">
        <x:f>IF($T40="","",IF($T40&lt;=5,0,IF($T40&lt;=8,5,IF($T40&lt;=10,12,IF($T40&lt;=12,20,35)))))</x:f>
      </x:c>
      <x:c r="AB40" s="26" t="str">
        <x:f>IF($J40="","",($K40*18)+IF($L40&gt;=3,10,IF($L40=2,3,0))+IF($M40="Yes",5,0)+IF($N40="Yes",15,0)+IF($O40="Yes",50,0))</x:f>
      </x:c>
      <x:c r="AC40" s="26" t="str">
        <x:f>IF($U40="","",IF($U40&gt;=0.11,20,IF($U40&gt;=0.09,12,IF($U40&gt;=0.075,6,0))))</x:f>
      </x:c>
      <x:c r="AD40" s="26" t="str">
        <x:f>IF($H40="","",ROUND(($R40*0.25)+($S40*0.20)+($Y40*0.25)+((100-$Z40-$AA40-$AB40-$AC40)*0.30),1))</x:f>
      </x:c>
      <x:c r="AE40" s="2" t="str">
        <x:f>IF($AD40="","",IF($O40="Yes","SKIP - title issue",IF($X40&gt;Inputs!$B$5,"OVER BUDGET",IF($AD40&gt;=82,"BUY",IF($AD40&gt;=70,"MAYBE","SKIP")))))</x:f>
      </x:c>
      <x:c r="AF40" s="2"/>
    </x:row>
    <x:row r="41">
      <x:c r="A41" s="2" t="str">
        <x:f>IF($AD41="","",COUNTIF($AD$2:$AD$101,"&gt;"&amp;$AD41)+COUNTIFS($AD$2:$AD41,$AD41))</x:f>
      </x:c>
      <x:c r="B41" s="2"/>
      <x:c r="C41" s="2"/>
      <x:c r="D41" s="2"/>
      <x:c r="E41" s="2"/>
      <x:c r="F41" s="2"/>
      <x:c r="G41" s="2"/>
      <x:c r="H41" s="20"/>
      <x:c r="I41" s="22"/>
      <x:c r="J41" s="22"/>
      <x:c r="K41" s="2"/>
      <x:c r="L41" s="2"/>
      <x:c r="M41" s="2"/>
      <x:c r="N41" s="2"/>
      <x:c r="O41" s="2"/>
      <x:c r="P41" s="2"/>
      <x:c r="Q41" s="2"/>
      <x:c r="R41" s="2" t="str">
        <x:f>IFERROR(VLOOKUP($Q41,'Model Scores'!$A$2:$D$100,2,FALSE),70)</x:f>
      </x:c>
      <x:c r="S41" s="2" t="str">
        <x:f>IFERROR(VLOOKUP($Q41,'Model Scores'!$A$2:$D$100,3,FALSE),60)</x:f>
      </x:c>
      <x:c r="T41" s="2" t="str">
        <x:f>IF($C41="","",Inputs!$B$12-$C41)</x:f>
      </x:c>
      <x:c r="U41" s="24" t="str">
        <x:f>IF($H41="","",Inputs!$B$7+IF($C41&lt;=2016,Inputs!$B$8,0)+IF($I41&gt;100000,Inputs!$B$9,0)+IF($I41&gt;120000,Inputs!$B$10,0)+IF($I41&gt;150000,Inputs!$B$11,0))</x:f>
      </x:c>
      <x:c r="V41" s="20" t="str">
        <x:f>IF($H41="","",$H41*(1+Inputs!$B$3)+Inputs!$B$4)</x:f>
      </x:c>
      <x:c r="W41" s="20" t="str">
        <x:f>IF($V41="","",MAX(0,$V41-Inputs!$B$2))</x:f>
      </x:c>
      <x:c r="X41" s="20" t="str">
        <x:f>IF($W41="","",IF($U41=0,$W41/Inputs!$B$6,PMT($U41/12,Inputs!$B$6,-$W41)))</x:f>
      </x:c>
      <x:c r="Y41" s="26" t="str">
        <x:f>IF($X41="","",MAX(0,100-(MAX(0,$X41-Inputs!$B$5)*Inputs!$B$14)))</x:f>
      </x:c>
      <x:c r="Z41" s="26" t="str">
        <x:f>IF($I41="","",IF($I41&lt;=60000,0,IF($I41&lt;=90000,5,IF($I41&lt;=110000,12,IF($I41&lt;=130000,22,IF($I41&lt;=150000,35,50))))))</x:f>
      </x:c>
      <x:c r="AA41" s="26" t="str">
        <x:f>IF($T41="","",IF($T41&lt;=5,0,IF($T41&lt;=8,5,IF($T41&lt;=10,12,IF($T41&lt;=12,20,35)))))</x:f>
      </x:c>
      <x:c r="AB41" s="26" t="str">
        <x:f>IF($J41="","",($K41*18)+IF($L41&gt;=3,10,IF($L41=2,3,0))+IF($M41="Yes",5,0)+IF($N41="Yes",15,0)+IF($O41="Yes",50,0))</x:f>
      </x:c>
      <x:c r="AC41" s="26" t="str">
        <x:f>IF($U41="","",IF($U41&gt;=0.11,20,IF($U41&gt;=0.09,12,IF($U41&gt;=0.075,6,0))))</x:f>
      </x:c>
      <x:c r="AD41" s="26" t="str">
        <x:f>IF($H41="","",ROUND(($R41*0.25)+($S41*0.20)+($Y41*0.25)+((100-$Z41-$AA41-$AB41-$AC41)*0.30),1))</x:f>
      </x:c>
      <x:c r="AE41" s="2" t="str">
        <x:f>IF($AD41="","",IF($O41="Yes","SKIP - title issue",IF($X41&gt;Inputs!$B$5,"OVER BUDGET",IF($AD41&gt;=82,"BUY",IF($AD41&gt;=70,"MAYBE","SKIP")))))</x:f>
      </x:c>
      <x:c r="AF41" s="2"/>
    </x:row>
    <x:row r="42">
      <x:c r="A42" s="2" t="str">
        <x:f>IF($AD42="","",COUNTIF($AD$2:$AD$101,"&gt;"&amp;$AD42)+COUNTIFS($AD$2:$AD42,$AD42))</x:f>
      </x:c>
      <x:c r="B42" s="2"/>
      <x:c r="C42" s="2"/>
      <x:c r="D42" s="2"/>
      <x:c r="E42" s="2"/>
      <x:c r="F42" s="2"/>
      <x:c r="G42" s="2"/>
      <x:c r="H42" s="20"/>
      <x:c r="I42" s="22"/>
      <x:c r="J42" s="22"/>
      <x:c r="K42" s="2"/>
      <x:c r="L42" s="2"/>
      <x:c r="M42" s="2"/>
      <x:c r="N42" s="2"/>
      <x:c r="O42" s="2"/>
      <x:c r="P42" s="2"/>
      <x:c r="Q42" s="2"/>
      <x:c r="R42" s="2" t="str">
        <x:f>IFERROR(VLOOKUP($Q42,'Model Scores'!$A$2:$D$100,2,FALSE),70)</x:f>
      </x:c>
      <x:c r="S42" s="2" t="str">
        <x:f>IFERROR(VLOOKUP($Q42,'Model Scores'!$A$2:$D$100,3,FALSE),60)</x:f>
      </x:c>
      <x:c r="T42" s="2" t="str">
        <x:f>IF($C42="","",Inputs!$B$12-$C42)</x:f>
      </x:c>
      <x:c r="U42" s="24" t="str">
        <x:f>IF($H42="","",Inputs!$B$7+IF($C42&lt;=2016,Inputs!$B$8,0)+IF($I42&gt;100000,Inputs!$B$9,0)+IF($I42&gt;120000,Inputs!$B$10,0)+IF($I42&gt;150000,Inputs!$B$11,0))</x:f>
      </x:c>
      <x:c r="V42" s="20" t="str">
        <x:f>IF($H42="","",$H42*(1+Inputs!$B$3)+Inputs!$B$4)</x:f>
      </x:c>
      <x:c r="W42" s="20" t="str">
        <x:f>IF($V42="","",MAX(0,$V42-Inputs!$B$2))</x:f>
      </x:c>
      <x:c r="X42" s="20" t="str">
        <x:f>IF($W42="","",IF($U42=0,$W42/Inputs!$B$6,PMT($U42/12,Inputs!$B$6,-$W42)))</x:f>
      </x:c>
      <x:c r="Y42" s="26" t="str">
        <x:f>IF($X42="","",MAX(0,100-(MAX(0,$X42-Inputs!$B$5)*Inputs!$B$14)))</x:f>
      </x:c>
      <x:c r="Z42" s="26" t="str">
        <x:f>IF($I42="","",IF($I42&lt;=60000,0,IF($I42&lt;=90000,5,IF($I42&lt;=110000,12,IF($I42&lt;=130000,22,IF($I42&lt;=150000,35,50))))))</x:f>
      </x:c>
      <x:c r="AA42" s="26" t="str">
        <x:f>IF($T42="","",IF($T42&lt;=5,0,IF($T42&lt;=8,5,IF($T42&lt;=10,12,IF($T42&lt;=12,20,35)))))</x:f>
      </x:c>
      <x:c r="AB42" s="26" t="str">
        <x:f>IF($J42="","",($K42*18)+IF($L42&gt;=3,10,IF($L42=2,3,0))+IF($M42="Yes",5,0)+IF($N42="Yes",15,0)+IF($O42="Yes",50,0))</x:f>
      </x:c>
      <x:c r="AC42" s="26" t="str">
        <x:f>IF($U42="","",IF($U42&gt;=0.11,20,IF($U42&gt;=0.09,12,IF($U42&gt;=0.075,6,0))))</x:f>
      </x:c>
      <x:c r="AD42" s="26" t="str">
        <x:f>IF($H42="","",ROUND(($R42*0.25)+($S42*0.20)+($Y42*0.25)+((100-$Z42-$AA42-$AB42-$AC42)*0.30),1))</x:f>
      </x:c>
      <x:c r="AE42" s="2" t="str">
        <x:f>IF($AD42="","",IF($O42="Yes","SKIP - title issue",IF($X42&gt;Inputs!$B$5,"OVER BUDGET",IF($AD42&gt;=82,"BUY",IF($AD42&gt;=70,"MAYBE","SKIP")))))</x:f>
      </x:c>
      <x:c r="AF42" s="2"/>
    </x:row>
    <x:row r="43">
      <x:c r="A43" s="2" t="str">
        <x:f>IF($AD43="","",COUNTIF($AD$2:$AD$101,"&gt;"&amp;$AD43)+COUNTIFS($AD$2:$AD43,$AD43))</x:f>
      </x:c>
      <x:c r="B43" s="2"/>
      <x:c r="C43" s="2"/>
      <x:c r="D43" s="2"/>
      <x:c r="E43" s="2"/>
      <x:c r="F43" s="2"/>
      <x:c r="G43" s="2"/>
      <x:c r="H43" s="20"/>
      <x:c r="I43" s="22"/>
      <x:c r="J43" s="22"/>
      <x:c r="K43" s="2"/>
      <x:c r="L43" s="2"/>
      <x:c r="M43" s="2"/>
      <x:c r="N43" s="2"/>
      <x:c r="O43" s="2"/>
      <x:c r="P43" s="2"/>
      <x:c r="Q43" s="2"/>
      <x:c r="R43" s="2" t="str">
        <x:f>IFERROR(VLOOKUP($Q43,'Model Scores'!$A$2:$D$100,2,FALSE),70)</x:f>
      </x:c>
      <x:c r="S43" s="2" t="str">
        <x:f>IFERROR(VLOOKUP($Q43,'Model Scores'!$A$2:$D$100,3,FALSE),60)</x:f>
      </x:c>
      <x:c r="T43" s="2" t="str">
        <x:f>IF($C43="","",Inputs!$B$12-$C43)</x:f>
      </x:c>
      <x:c r="U43" s="24" t="str">
        <x:f>IF($H43="","",Inputs!$B$7+IF($C43&lt;=2016,Inputs!$B$8,0)+IF($I43&gt;100000,Inputs!$B$9,0)+IF($I43&gt;120000,Inputs!$B$10,0)+IF($I43&gt;150000,Inputs!$B$11,0))</x:f>
      </x:c>
      <x:c r="V43" s="20" t="str">
        <x:f>IF($H43="","",$H43*(1+Inputs!$B$3)+Inputs!$B$4)</x:f>
      </x:c>
      <x:c r="W43" s="20" t="str">
        <x:f>IF($V43="","",MAX(0,$V43-Inputs!$B$2))</x:f>
      </x:c>
      <x:c r="X43" s="20" t="str">
        <x:f>IF($W43="","",IF($U43=0,$W43/Inputs!$B$6,PMT($U43/12,Inputs!$B$6,-$W43)))</x:f>
      </x:c>
      <x:c r="Y43" s="26" t="str">
        <x:f>IF($X43="","",MAX(0,100-(MAX(0,$X43-Inputs!$B$5)*Inputs!$B$14)))</x:f>
      </x:c>
      <x:c r="Z43" s="26" t="str">
        <x:f>IF($I43="","",IF($I43&lt;=60000,0,IF($I43&lt;=90000,5,IF($I43&lt;=110000,12,IF($I43&lt;=130000,22,IF($I43&lt;=150000,35,50))))))</x:f>
      </x:c>
      <x:c r="AA43" s="26" t="str">
        <x:f>IF($T43="","",IF($T43&lt;=5,0,IF($T43&lt;=8,5,IF($T43&lt;=10,12,IF($T43&lt;=12,20,35)))))</x:f>
      </x:c>
      <x:c r="AB43" s="26" t="str">
        <x:f>IF($J43="","",($K43*18)+IF($L43&gt;=3,10,IF($L43=2,3,0))+IF($M43="Yes",5,0)+IF($N43="Yes",15,0)+IF($O43="Yes",50,0))</x:f>
      </x:c>
      <x:c r="AC43" s="26" t="str">
        <x:f>IF($U43="","",IF($U43&gt;=0.11,20,IF($U43&gt;=0.09,12,IF($U43&gt;=0.075,6,0))))</x:f>
      </x:c>
      <x:c r="AD43" s="26" t="str">
        <x:f>IF($H43="","",ROUND(($R43*0.25)+($S43*0.20)+($Y43*0.25)+((100-$Z43-$AA43-$AB43-$AC43)*0.30),1))</x:f>
      </x:c>
      <x:c r="AE43" s="2" t="str">
        <x:f>IF($AD43="","",IF($O43="Yes","SKIP - title issue",IF($X43&gt;Inputs!$B$5,"OVER BUDGET",IF($AD43&gt;=82,"BUY",IF($AD43&gt;=70,"MAYBE","SKIP")))))</x:f>
      </x:c>
      <x:c r="AF43" s="2"/>
    </x:row>
    <x:row r="44">
      <x:c r="A44" s="2" t="str">
        <x:f>IF($AD44="","",COUNTIF($AD$2:$AD$101,"&gt;"&amp;$AD44)+COUNTIFS($AD$2:$AD44,$AD44))</x:f>
      </x:c>
      <x:c r="B44" s="2"/>
      <x:c r="C44" s="2"/>
      <x:c r="D44" s="2"/>
      <x:c r="E44" s="2"/>
      <x:c r="F44" s="2"/>
      <x:c r="G44" s="2"/>
      <x:c r="H44" s="20"/>
      <x:c r="I44" s="22"/>
      <x:c r="J44" s="22"/>
      <x:c r="K44" s="2"/>
      <x:c r="L44" s="2"/>
      <x:c r="M44" s="2"/>
      <x:c r="N44" s="2"/>
      <x:c r="O44" s="2"/>
      <x:c r="P44" s="2"/>
      <x:c r="Q44" s="2"/>
      <x:c r="R44" s="2" t="str">
        <x:f>IFERROR(VLOOKUP($Q44,'Model Scores'!$A$2:$D$100,2,FALSE),70)</x:f>
      </x:c>
      <x:c r="S44" s="2" t="str">
        <x:f>IFERROR(VLOOKUP($Q44,'Model Scores'!$A$2:$D$100,3,FALSE),60)</x:f>
      </x:c>
      <x:c r="T44" s="2" t="str">
        <x:f>IF($C44="","",Inputs!$B$12-$C44)</x:f>
      </x:c>
      <x:c r="U44" s="24" t="str">
        <x:f>IF($H44="","",Inputs!$B$7+IF($C44&lt;=2016,Inputs!$B$8,0)+IF($I44&gt;100000,Inputs!$B$9,0)+IF($I44&gt;120000,Inputs!$B$10,0)+IF($I44&gt;150000,Inputs!$B$11,0))</x:f>
      </x:c>
      <x:c r="V44" s="20" t="str">
        <x:f>IF($H44="","",$H44*(1+Inputs!$B$3)+Inputs!$B$4)</x:f>
      </x:c>
      <x:c r="W44" s="20" t="str">
        <x:f>IF($V44="","",MAX(0,$V44-Inputs!$B$2))</x:f>
      </x:c>
      <x:c r="X44" s="20" t="str">
        <x:f>IF($W44="","",IF($U44=0,$W44/Inputs!$B$6,PMT($U44/12,Inputs!$B$6,-$W44)))</x:f>
      </x:c>
      <x:c r="Y44" s="26" t="str">
        <x:f>IF($X44="","",MAX(0,100-(MAX(0,$X44-Inputs!$B$5)*Inputs!$B$14)))</x:f>
      </x:c>
      <x:c r="Z44" s="26" t="str">
        <x:f>IF($I44="","",IF($I44&lt;=60000,0,IF($I44&lt;=90000,5,IF($I44&lt;=110000,12,IF($I44&lt;=130000,22,IF($I44&lt;=150000,35,50))))))</x:f>
      </x:c>
      <x:c r="AA44" s="26" t="str">
        <x:f>IF($T44="","",IF($T44&lt;=5,0,IF($T44&lt;=8,5,IF($T44&lt;=10,12,IF($T44&lt;=12,20,35)))))</x:f>
      </x:c>
      <x:c r="AB44" s="26" t="str">
        <x:f>IF($J44="","",($K44*18)+IF($L44&gt;=3,10,IF($L44=2,3,0))+IF($M44="Yes",5,0)+IF($N44="Yes",15,0)+IF($O44="Yes",50,0))</x:f>
      </x:c>
      <x:c r="AC44" s="26" t="str">
        <x:f>IF($U44="","",IF($U44&gt;=0.11,20,IF($U44&gt;=0.09,12,IF($U44&gt;=0.075,6,0))))</x:f>
      </x:c>
      <x:c r="AD44" s="26" t="str">
        <x:f>IF($H44="","",ROUND(($R44*0.25)+($S44*0.20)+($Y44*0.25)+((100-$Z44-$AA44-$AB44-$AC44)*0.30),1))</x:f>
      </x:c>
      <x:c r="AE44" s="2" t="str">
        <x:f>IF($AD44="","",IF($O44="Yes","SKIP - title issue",IF($X44&gt;Inputs!$B$5,"OVER BUDGET",IF($AD44&gt;=82,"BUY",IF($AD44&gt;=70,"MAYBE","SKIP")))))</x:f>
      </x:c>
      <x:c r="AF44" s="2"/>
    </x:row>
    <x:row r="45">
      <x:c r="A45" s="2" t="str">
        <x:f>IF($AD45="","",COUNTIF($AD$2:$AD$101,"&gt;"&amp;$AD45)+COUNTIFS($AD$2:$AD45,$AD45))</x:f>
      </x:c>
      <x:c r="B45" s="2"/>
      <x:c r="C45" s="2"/>
      <x:c r="D45" s="2"/>
      <x:c r="E45" s="2"/>
      <x:c r="F45" s="2"/>
      <x:c r="G45" s="2"/>
      <x:c r="H45" s="20"/>
      <x:c r="I45" s="22"/>
      <x:c r="J45" s="22"/>
      <x:c r="K45" s="2"/>
      <x:c r="L45" s="2"/>
      <x:c r="M45" s="2"/>
      <x:c r="N45" s="2"/>
      <x:c r="O45" s="2"/>
      <x:c r="P45" s="2"/>
      <x:c r="Q45" s="2"/>
      <x:c r="R45" s="2" t="str">
        <x:f>IFERROR(VLOOKUP($Q45,'Model Scores'!$A$2:$D$100,2,FALSE),70)</x:f>
      </x:c>
      <x:c r="S45" s="2" t="str">
        <x:f>IFERROR(VLOOKUP($Q45,'Model Scores'!$A$2:$D$100,3,FALSE),60)</x:f>
      </x:c>
      <x:c r="T45" s="2" t="str">
        <x:f>IF($C45="","",Inputs!$B$12-$C45)</x:f>
      </x:c>
      <x:c r="U45" s="24" t="str">
        <x:f>IF($H45="","",Inputs!$B$7+IF($C45&lt;=2016,Inputs!$B$8,0)+IF($I45&gt;100000,Inputs!$B$9,0)+IF($I45&gt;120000,Inputs!$B$10,0)+IF($I45&gt;150000,Inputs!$B$11,0))</x:f>
      </x:c>
      <x:c r="V45" s="20" t="str">
        <x:f>IF($H45="","",$H45*(1+Inputs!$B$3)+Inputs!$B$4)</x:f>
      </x:c>
      <x:c r="W45" s="20" t="str">
        <x:f>IF($V45="","",MAX(0,$V45-Inputs!$B$2))</x:f>
      </x:c>
      <x:c r="X45" s="20" t="str">
        <x:f>IF($W45="","",IF($U45=0,$W45/Inputs!$B$6,PMT($U45/12,Inputs!$B$6,-$W45)))</x:f>
      </x:c>
      <x:c r="Y45" s="26" t="str">
        <x:f>IF($X45="","",MAX(0,100-(MAX(0,$X45-Inputs!$B$5)*Inputs!$B$14)))</x:f>
      </x:c>
      <x:c r="Z45" s="26" t="str">
        <x:f>IF($I45="","",IF($I45&lt;=60000,0,IF($I45&lt;=90000,5,IF($I45&lt;=110000,12,IF($I45&lt;=130000,22,IF($I45&lt;=150000,35,50))))))</x:f>
      </x:c>
      <x:c r="AA45" s="26" t="str">
        <x:f>IF($T45="","",IF($T45&lt;=5,0,IF($T45&lt;=8,5,IF($T45&lt;=10,12,IF($T45&lt;=12,20,35)))))</x:f>
      </x:c>
      <x:c r="AB45" s="26" t="str">
        <x:f>IF($J45="","",($K45*18)+IF($L45&gt;=3,10,IF($L45=2,3,0))+IF($M45="Yes",5,0)+IF($N45="Yes",15,0)+IF($O45="Yes",50,0))</x:f>
      </x:c>
      <x:c r="AC45" s="26" t="str">
        <x:f>IF($U45="","",IF($U45&gt;=0.11,20,IF($U45&gt;=0.09,12,IF($U45&gt;=0.075,6,0))))</x:f>
      </x:c>
      <x:c r="AD45" s="26" t="str">
        <x:f>IF($H45="","",ROUND(($R45*0.25)+($S45*0.20)+($Y45*0.25)+((100-$Z45-$AA45-$AB45-$AC45)*0.30),1))</x:f>
      </x:c>
      <x:c r="AE45" s="2" t="str">
        <x:f>IF($AD45="","",IF($O45="Yes","SKIP - title issue",IF($X45&gt;Inputs!$B$5,"OVER BUDGET",IF($AD45&gt;=82,"BUY",IF($AD45&gt;=70,"MAYBE","SKIP")))))</x:f>
      </x:c>
      <x:c r="AF45" s="2"/>
    </x:row>
    <x:row r="46">
      <x:c r="A46" s="2" t="str">
        <x:f>IF($AD46="","",COUNTIF($AD$2:$AD$101,"&gt;"&amp;$AD46)+COUNTIFS($AD$2:$AD46,$AD46))</x:f>
      </x:c>
      <x:c r="B46" s="2"/>
      <x:c r="C46" s="2"/>
      <x:c r="D46" s="2"/>
      <x:c r="E46" s="2"/>
      <x:c r="F46" s="2"/>
      <x:c r="G46" s="2"/>
      <x:c r="H46" s="20"/>
      <x:c r="I46" s="22"/>
      <x:c r="J46" s="22"/>
      <x:c r="K46" s="2"/>
      <x:c r="L46" s="2"/>
      <x:c r="M46" s="2"/>
      <x:c r="N46" s="2"/>
      <x:c r="O46" s="2"/>
      <x:c r="P46" s="2"/>
      <x:c r="Q46" s="2"/>
      <x:c r="R46" s="2" t="str">
        <x:f>IFERROR(VLOOKUP($Q46,'Model Scores'!$A$2:$D$100,2,FALSE),70)</x:f>
      </x:c>
      <x:c r="S46" s="2" t="str">
        <x:f>IFERROR(VLOOKUP($Q46,'Model Scores'!$A$2:$D$100,3,FALSE),60)</x:f>
      </x:c>
      <x:c r="T46" s="2" t="str">
        <x:f>IF($C46="","",Inputs!$B$12-$C46)</x:f>
      </x:c>
      <x:c r="U46" s="24" t="str">
        <x:f>IF($H46="","",Inputs!$B$7+IF($C46&lt;=2016,Inputs!$B$8,0)+IF($I46&gt;100000,Inputs!$B$9,0)+IF($I46&gt;120000,Inputs!$B$10,0)+IF($I46&gt;150000,Inputs!$B$11,0))</x:f>
      </x:c>
      <x:c r="V46" s="20" t="str">
        <x:f>IF($H46="","",$H46*(1+Inputs!$B$3)+Inputs!$B$4)</x:f>
      </x:c>
      <x:c r="W46" s="20" t="str">
        <x:f>IF($V46="","",MAX(0,$V46-Inputs!$B$2))</x:f>
      </x:c>
      <x:c r="X46" s="20" t="str">
        <x:f>IF($W46="","",IF($U46=0,$W46/Inputs!$B$6,PMT($U46/12,Inputs!$B$6,-$W46)))</x:f>
      </x:c>
      <x:c r="Y46" s="26" t="str">
        <x:f>IF($X46="","",MAX(0,100-(MAX(0,$X46-Inputs!$B$5)*Inputs!$B$14)))</x:f>
      </x:c>
      <x:c r="Z46" s="26" t="str">
        <x:f>IF($I46="","",IF($I46&lt;=60000,0,IF($I46&lt;=90000,5,IF($I46&lt;=110000,12,IF($I46&lt;=130000,22,IF($I46&lt;=150000,35,50))))))</x:f>
      </x:c>
      <x:c r="AA46" s="26" t="str">
        <x:f>IF($T46="","",IF($T46&lt;=5,0,IF($T46&lt;=8,5,IF($T46&lt;=10,12,IF($T46&lt;=12,20,35)))))</x:f>
      </x:c>
      <x:c r="AB46" s="26" t="str">
        <x:f>IF($J46="","",($K46*18)+IF($L46&gt;=3,10,IF($L46=2,3,0))+IF($M46="Yes",5,0)+IF($N46="Yes",15,0)+IF($O46="Yes",50,0))</x:f>
      </x:c>
      <x:c r="AC46" s="26" t="str">
        <x:f>IF($U46="","",IF($U46&gt;=0.11,20,IF($U46&gt;=0.09,12,IF($U46&gt;=0.075,6,0))))</x:f>
      </x:c>
      <x:c r="AD46" s="26" t="str">
        <x:f>IF($H46="","",ROUND(($R46*0.25)+($S46*0.20)+($Y46*0.25)+((100-$Z46-$AA46-$AB46-$AC46)*0.30),1))</x:f>
      </x:c>
      <x:c r="AE46" s="2" t="str">
        <x:f>IF($AD46="","",IF($O46="Yes","SKIP - title issue",IF($X46&gt;Inputs!$B$5,"OVER BUDGET",IF($AD46&gt;=82,"BUY",IF($AD46&gt;=70,"MAYBE","SKIP")))))</x:f>
      </x:c>
      <x:c r="AF46" s="2"/>
    </x:row>
    <x:row r="47">
      <x:c r="A47" s="2" t="str">
        <x:f>IF($AD47="","",COUNTIF($AD$2:$AD$101,"&gt;"&amp;$AD47)+COUNTIFS($AD$2:$AD47,$AD47))</x:f>
      </x:c>
      <x:c r="B47" s="2"/>
      <x:c r="C47" s="2"/>
      <x:c r="D47" s="2"/>
      <x:c r="E47" s="2"/>
      <x:c r="F47" s="2"/>
      <x:c r="G47" s="2"/>
      <x:c r="H47" s="20"/>
      <x:c r="I47" s="22"/>
      <x:c r="J47" s="22"/>
      <x:c r="K47" s="2"/>
      <x:c r="L47" s="2"/>
      <x:c r="M47" s="2"/>
      <x:c r="N47" s="2"/>
      <x:c r="O47" s="2"/>
      <x:c r="P47" s="2"/>
      <x:c r="Q47" s="2"/>
      <x:c r="R47" s="2" t="str">
        <x:f>IFERROR(VLOOKUP($Q47,'Model Scores'!$A$2:$D$100,2,FALSE),70)</x:f>
      </x:c>
      <x:c r="S47" s="2" t="str">
        <x:f>IFERROR(VLOOKUP($Q47,'Model Scores'!$A$2:$D$100,3,FALSE),60)</x:f>
      </x:c>
      <x:c r="T47" s="2" t="str">
        <x:f>IF($C47="","",Inputs!$B$12-$C47)</x:f>
      </x:c>
      <x:c r="U47" s="24" t="str">
        <x:f>IF($H47="","",Inputs!$B$7+IF($C47&lt;=2016,Inputs!$B$8,0)+IF($I47&gt;100000,Inputs!$B$9,0)+IF($I47&gt;120000,Inputs!$B$10,0)+IF($I47&gt;150000,Inputs!$B$11,0))</x:f>
      </x:c>
      <x:c r="V47" s="20" t="str">
        <x:f>IF($H47="","",$H47*(1+Inputs!$B$3)+Inputs!$B$4)</x:f>
      </x:c>
      <x:c r="W47" s="20" t="str">
        <x:f>IF($V47="","",MAX(0,$V47-Inputs!$B$2))</x:f>
      </x:c>
      <x:c r="X47" s="20" t="str">
        <x:f>IF($W47="","",IF($U47=0,$W47/Inputs!$B$6,PMT($U47/12,Inputs!$B$6,-$W47)))</x:f>
      </x:c>
      <x:c r="Y47" s="26" t="str">
        <x:f>IF($X47="","",MAX(0,100-(MAX(0,$X47-Inputs!$B$5)*Inputs!$B$14)))</x:f>
      </x:c>
      <x:c r="Z47" s="26" t="str">
        <x:f>IF($I47="","",IF($I47&lt;=60000,0,IF($I47&lt;=90000,5,IF($I47&lt;=110000,12,IF($I47&lt;=130000,22,IF($I47&lt;=150000,35,50))))))</x:f>
      </x:c>
      <x:c r="AA47" s="26" t="str">
        <x:f>IF($T47="","",IF($T47&lt;=5,0,IF($T47&lt;=8,5,IF($T47&lt;=10,12,IF($T47&lt;=12,20,35)))))</x:f>
      </x:c>
      <x:c r="AB47" s="26" t="str">
        <x:f>IF($J47="","",($K47*18)+IF($L47&gt;=3,10,IF($L47=2,3,0))+IF($M47="Yes",5,0)+IF($N47="Yes",15,0)+IF($O47="Yes",50,0))</x:f>
      </x:c>
      <x:c r="AC47" s="26" t="str">
        <x:f>IF($U47="","",IF($U47&gt;=0.11,20,IF($U47&gt;=0.09,12,IF($U47&gt;=0.075,6,0))))</x:f>
      </x:c>
      <x:c r="AD47" s="26" t="str">
        <x:f>IF($H47="","",ROUND(($R47*0.25)+($S47*0.20)+($Y47*0.25)+((100-$Z47-$AA47-$AB47-$AC47)*0.30),1))</x:f>
      </x:c>
      <x:c r="AE47" s="2" t="str">
        <x:f>IF($AD47="","",IF($O47="Yes","SKIP - title issue",IF($X47&gt;Inputs!$B$5,"OVER BUDGET",IF($AD47&gt;=82,"BUY",IF($AD47&gt;=70,"MAYBE","SKIP")))))</x:f>
      </x:c>
      <x:c r="AF47" s="2"/>
    </x:row>
    <x:row r="48">
      <x:c r="A48" s="2" t="str">
        <x:f>IF($AD48="","",COUNTIF($AD$2:$AD$101,"&gt;"&amp;$AD48)+COUNTIFS($AD$2:$AD48,$AD48))</x:f>
      </x:c>
      <x:c r="B48" s="2"/>
      <x:c r="C48" s="2"/>
      <x:c r="D48" s="2"/>
      <x:c r="E48" s="2"/>
      <x:c r="F48" s="2"/>
      <x:c r="G48" s="2"/>
      <x:c r="H48" s="20"/>
      <x:c r="I48" s="22"/>
      <x:c r="J48" s="22"/>
      <x:c r="K48" s="2"/>
      <x:c r="L48" s="2"/>
      <x:c r="M48" s="2"/>
      <x:c r="N48" s="2"/>
      <x:c r="O48" s="2"/>
      <x:c r="P48" s="2"/>
      <x:c r="Q48" s="2"/>
      <x:c r="R48" s="2" t="str">
        <x:f>IFERROR(VLOOKUP($Q48,'Model Scores'!$A$2:$D$100,2,FALSE),70)</x:f>
      </x:c>
      <x:c r="S48" s="2" t="str">
        <x:f>IFERROR(VLOOKUP($Q48,'Model Scores'!$A$2:$D$100,3,FALSE),60)</x:f>
      </x:c>
      <x:c r="T48" s="2" t="str">
        <x:f>IF($C48="","",Inputs!$B$12-$C48)</x:f>
      </x:c>
      <x:c r="U48" s="24" t="str">
        <x:f>IF($H48="","",Inputs!$B$7+IF($C48&lt;=2016,Inputs!$B$8,0)+IF($I48&gt;100000,Inputs!$B$9,0)+IF($I48&gt;120000,Inputs!$B$10,0)+IF($I48&gt;150000,Inputs!$B$11,0))</x:f>
      </x:c>
      <x:c r="V48" s="20" t="str">
        <x:f>IF($H48="","",$H48*(1+Inputs!$B$3)+Inputs!$B$4)</x:f>
      </x:c>
      <x:c r="W48" s="20" t="str">
        <x:f>IF($V48="","",MAX(0,$V48-Inputs!$B$2))</x:f>
      </x:c>
      <x:c r="X48" s="20" t="str">
        <x:f>IF($W48="","",IF($U48=0,$W48/Inputs!$B$6,PMT($U48/12,Inputs!$B$6,-$W48)))</x:f>
      </x:c>
      <x:c r="Y48" s="26" t="str">
        <x:f>IF($X48="","",MAX(0,100-(MAX(0,$X48-Inputs!$B$5)*Inputs!$B$14)))</x:f>
      </x:c>
      <x:c r="Z48" s="26" t="str">
        <x:f>IF($I48="","",IF($I48&lt;=60000,0,IF($I48&lt;=90000,5,IF($I48&lt;=110000,12,IF($I48&lt;=130000,22,IF($I48&lt;=150000,35,50))))))</x:f>
      </x:c>
      <x:c r="AA48" s="26" t="str">
        <x:f>IF($T48="","",IF($T48&lt;=5,0,IF($T48&lt;=8,5,IF($T48&lt;=10,12,IF($T48&lt;=12,20,35)))))</x:f>
      </x:c>
      <x:c r="AB48" s="26" t="str">
        <x:f>IF($J48="","",($K48*18)+IF($L48&gt;=3,10,IF($L48=2,3,0))+IF($M48="Yes",5,0)+IF($N48="Yes",15,0)+IF($O48="Yes",50,0))</x:f>
      </x:c>
      <x:c r="AC48" s="26" t="str">
        <x:f>IF($U48="","",IF($U48&gt;=0.11,20,IF($U48&gt;=0.09,12,IF($U48&gt;=0.075,6,0))))</x:f>
      </x:c>
      <x:c r="AD48" s="26" t="str">
        <x:f>IF($H48="","",ROUND(($R48*0.25)+($S48*0.20)+($Y48*0.25)+((100-$Z48-$AA48-$AB48-$AC48)*0.30),1))</x:f>
      </x:c>
      <x:c r="AE48" s="2" t="str">
        <x:f>IF($AD48="","",IF($O48="Yes","SKIP - title issue",IF($X48&gt;Inputs!$B$5,"OVER BUDGET",IF($AD48&gt;=82,"BUY",IF($AD48&gt;=70,"MAYBE","SKIP")))))</x:f>
      </x:c>
      <x:c r="AF48" s="2"/>
    </x:row>
    <x:row r="49">
      <x:c r="A49" s="2" t="str">
        <x:f>IF($AD49="","",COUNTIF($AD$2:$AD$101,"&gt;"&amp;$AD49)+COUNTIFS($AD$2:$AD49,$AD49))</x:f>
      </x:c>
      <x:c r="B49" s="2"/>
      <x:c r="C49" s="2"/>
      <x:c r="D49" s="2"/>
      <x:c r="E49" s="2"/>
      <x:c r="F49" s="2"/>
      <x:c r="G49" s="2"/>
      <x:c r="H49" s="20"/>
      <x:c r="I49" s="22"/>
      <x:c r="J49" s="22"/>
      <x:c r="K49" s="2"/>
      <x:c r="L49" s="2"/>
      <x:c r="M49" s="2"/>
      <x:c r="N49" s="2"/>
      <x:c r="O49" s="2"/>
      <x:c r="P49" s="2"/>
      <x:c r="Q49" s="2"/>
      <x:c r="R49" s="2" t="str">
        <x:f>IFERROR(VLOOKUP($Q49,'Model Scores'!$A$2:$D$100,2,FALSE),70)</x:f>
      </x:c>
      <x:c r="S49" s="2" t="str">
        <x:f>IFERROR(VLOOKUP($Q49,'Model Scores'!$A$2:$D$100,3,FALSE),60)</x:f>
      </x:c>
      <x:c r="T49" s="2" t="str">
        <x:f>IF($C49="","",Inputs!$B$12-$C49)</x:f>
      </x:c>
      <x:c r="U49" s="24" t="str">
        <x:f>IF($H49="","",Inputs!$B$7+IF($C49&lt;=2016,Inputs!$B$8,0)+IF($I49&gt;100000,Inputs!$B$9,0)+IF($I49&gt;120000,Inputs!$B$10,0)+IF($I49&gt;150000,Inputs!$B$11,0))</x:f>
      </x:c>
      <x:c r="V49" s="20" t="str">
        <x:f>IF($H49="","",$H49*(1+Inputs!$B$3)+Inputs!$B$4)</x:f>
      </x:c>
      <x:c r="W49" s="20" t="str">
        <x:f>IF($V49="","",MAX(0,$V49-Inputs!$B$2))</x:f>
      </x:c>
      <x:c r="X49" s="20" t="str">
        <x:f>IF($W49="","",IF($U49=0,$W49/Inputs!$B$6,PMT($U49/12,Inputs!$B$6,-$W49)))</x:f>
      </x:c>
      <x:c r="Y49" s="26" t="str">
        <x:f>IF($X49="","",MAX(0,100-(MAX(0,$X49-Inputs!$B$5)*Inputs!$B$14)))</x:f>
      </x:c>
      <x:c r="Z49" s="26" t="str">
        <x:f>IF($I49="","",IF($I49&lt;=60000,0,IF($I49&lt;=90000,5,IF($I49&lt;=110000,12,IF($I49&lt;=130000,22,IF($I49&lt;=150000,35,50))))))</x:f>
      </x:c>
      <x:c r="AA49" s="26" t="str">
        <x:f>IF($T49="","",IF($T49&lt;=5,0,IF($T49&lt;=8,5,IF($T49&lt;=10,12,IF($T49&lt;=12,20,35)))))</x:f>
      </x:c>
      <x:c r="AB49" s="26" t="str">
        <x:f>IF($J49="","",($K49*18)+IF($L49&gt;=3,10,IF($L49=2,3,0))+IF($M49="Yes",5,0)+IF($N49="Yes",15,0)+IF($O49="Yes",50,0))</x:f>
      </x:c>
      <x:c r="AC49" s="26" t="str">
        <x:f>IF($U49="","",IF($U49&gt;=0.11,20,IF($U49&gt;=0.09,12,IF($U49&gt;=0.075,6,0))))</x:f>
      </x:c>
      <x:c r="AD49" s="26" t="str">
        <x:f>IF($H49="","",ROUND(($R49*0.25)+($S49*0.20)+($Y49*0.25)+((100-$Z49-$AA49-$AB49-$AC49)*0.30),1))</x:f>
      </x:c>
      <x:c r="AE49" s="2" t="str">
        <x:f>IF($AD49="","",IF($O49="Yes","SKIP - title issue",IF($X49&gt;Inputs!$B$5,"OVER BUDGET",IF($AD49&gt;=82,"BUY",IF($AD49&gt;=70,"MAYBE","SKIP")))))</x:f>
      </x:c>
      <x:c r="AF49" s="2"/>
    </x:row>
    <x:row r="50">
      <x:c r="A50" s="2" t="str">
        <x:f>IF($AD50="","",COUNTIF($AD$2:$AD$101,"&gt;"&amp;$AD50)+COUNTIFS($AD$2:$AD50,$AD50))</x:f>
      </x:c>
      <x:c r="B50" s="2"/>
      <x:c r="C50" s="2"/>
      <x:c r="D50" s="2"/>
      <x:c r="E50" s="2"/>
      <x:c r="F50" s="2"/>
      <x:c r="G50" s="2"/>
      <x:c r="H50" s="20"/>
      <x:c r="I50" s="22"/>
      <x:c r="J50" s="22"/>
      <x:c r="K50" s="2"/>
      <x:c r="L50" s="2"/>
      <x:c r="M50" s="2"/>
      <x:c r="N50" s="2"/>
      <x:c r="O50" s="2"/>
      <x:c r="P50" s="2"/>
      <x:c r="Q50" s="2"/>
      <x:c r="R50" s="2" t="str">
        <x:f>IFERROR(VLOOKUP($Q50,'Model Scores'!$A$2:$D$100,2,FALSE),70)</x:f>
      </x:c>
      <x:c r="S50" s="2" t="str">
        <x:f>IFERROR(VLOOKUP($Q50,'Model Scores'!$A$2:$D$100,3,FALSE),60)</x:f>
      </x:c>
      <x:c r="T50" s="2" t="str">
        <x:f>IF($C50="","",Inputs!$B$12-$C50)</x:f>
      </x:c>
      <x:c r="U50" s="24" t="str">
        <x:f>IF($H50="","",Inputs!$B$7+IF($C50&lt;=2016,Inputs!$B$8,0)+IF($I50&gt;100000,Inputs!$B$9,0)+IF($I50&gt;120000,Inputs!$B$10,0)+IF($I50&gt;150000,Inputs!$B$11,0))</x:f>
      </x:c>
      <x:c r="V50" s="20" t="str">
        <x:f>IF($H50="","",$H50*(1+Inputs!$B$3)+Inputs!$B$4)</x:f>
      </x:c>
      <x:c r="W50" s="20" t="str">
        <x:f>IF($V50="","",MAX(0,$V50-Inputs!$B$2))</x:f>
      </x:c>
      <x:c r="X50" s="20" t="str">
        <x:f>IF($W50="","",IF($U50=0,$W50/Inputs!$B$6,PMT($U50/12,Inputs!$B$6,-$W50)))</x:f>
      </x:c>
      <x:c r="Y50" s="26" t="str">
        <x:f>IF($X50="","",MAX(0,100-(MAX(0,$X50-Inputs!$B$5)*Inputs!$B$14)))</x:f>
      </x:c>
      <x:c r="Z50" s="26" t="str">
        <x:f>IF($I50="","",IF($I50&lt;=60000,0,IF($I50&lt;=90000,5,IF($I50&lt;=110000,12,IF($I50&lt;=130000,22,IF($I50&lt;=150000,35,50))))))</x:f>
      </x:c>
      <x:c r="AA50" s="26" t="str">
        <x:f>IF($T50="","",IF($T50&lt;=5,0,IF($T50&lt;=8,5,IF($T50&lt;=10,12,IF($T50&lt;=12,20,35)))))</x:f>
      </x:c>
      <x:c r="AB50" s="26" t="str">
        <x:f>IF($J50="","",($K50*18)+IF($L50&gt;=3,10,IF($L50=2,3,0))+IF($M50="Yes",5,0)+IF($N50="Yes",15,0)+IF($O50="Yes",50,0))</x:f>
      </x:c>
      <x:c r="AC50" s="26" t="str">
        <x:f>IF($U50="","",IF($U50&gt;=0.11,20,IF($U50&gt;=0.09,12,IF($U50&gt;=0.075,6,0))))</x:f>
      </x:c>
      <x:c r="AD50" s="26" t="str">
        <x:f>IF($H50="","",ROUND(($R50*0.25)+($S50*0.20)+($Y50*0.25)+((100-$Z50-$AA50-$AB50-$AC50)*0.30),1))</x:f>
      </x:c>
      <x:c r="AE50" s="2" t="str">
        <x:f>IF($AD50="","",IF($O50="Yes","SKIP - title issue",IF($X50&gt;Inputs!$B$5,"OVER BUDGET",IF($AD50&gt;=82,"BUY",IF($AD50&gt;=70,"MAYBE","SKIP")))))</x:f>
      </x:c>
      <x:c r="AF50" s="2"/>
    </x:row>
    <x:row r="51">
      <x:c r="A51" s="2" t="str">
        <x:f>IF($AD51="","",COUNTIF($AD$2:$AD$101,"&gt;"&amp;$AD51)+COUNTIFS($AD$2:$AD51,$AD51))</x:f>
      </x:c>
      <x:c r="B51" s="2"/>
      <x:c r="C51" s="2"/>
      <x:c r="D51" s="2"/>
      <x:c r="E51" s="2"/>
      <x:c r="F51" s="2"/>
      <x:c r="G51" s="2"/>
      <x:c r="H51" s="20"/>
      <x:c r="I51" s="22"/>
      <x:c r="J51" s="22"/>
      <x:c r="K51" s="2"/>
      <x:c r="L51" s="2"/>
      <x:c r="M51" s="2"/>
      <x:c r="N51" s="2"/>
      <x:c r="O51" s="2"/>
      <x:c r="P51" s="2"/>
      <x:c r="Q51" s="2"/>
      <x:c r="R51" s="2" t="str">
        <x:f>IFERROR(VLOOKUP($Q51,'Model Scores'!$A$2:$D$100,2,FALSE),70)</x:f>
      </x:c>
      <x:c r="S51" s="2" t="str">
        <x:f>IFERROR(VLOOKUP($Q51,'Model Scores'!$A$2:$D$100,3,FALSE),60)</x:f>
      </x:c>
      <x:c r="T51" s="2" t="str">
        <x:f>IF($C51="","",Inputs!$B$12-$C51)</x:f>
      </x:c>
      <x:c r="U51" s="24" t="str">
        <x:f>IF($H51="","",Inputs!$B$7+IF($C51&lt;=2016,Inputs!$B$8,0)+IF($I51&gt;100000,Inputs!$B$9,0)+IF($I51&gt;120000,Inputs!$B$10,0)+IF($I51&gt;150000,Inputs!$B$11,0))</x:f>
      </x:c>
      <x:c r="V51" s="20" t="str">
        <x:f>IF($H51="","",$H51*(1+Inputs!$B$3)+Inputs!$B$4)</x:f>
      </x:c>
      <x:c r="W51" s="20" t="str">
        <x:f>IF($V51="","",MAX(0,$V51-Inputs!$B$2))</x:f>
      </x:c>
      <x:c r="X51" s="20" t="str">
        <x:f>IF($W51="","",IF($U51=0,$W51/Inputs!$B$6,PMT($U51/12,Inputs!$B$6,-$W51)))</x:f>
      </x:c>
      <x:c r="Y51" s="26" t="str">
        <x:f>IF($X51="","",MAX(0,100-(MAX(0,$X51-Inputs!$B$5)*Inputs!$B$14)))</x:f>
      </x:c>
      <x:c r="Z51" s="26" t="str">
        <x:f>IF($I51="","",IF($I51&lt;=60000,0,IF($I51&lt;=90000,5,IF($I51&lt;=110000,12,IF($I51&lt;=130000,22,IF($I51&lt;=150000,35,50))))))</x:f>
      </x:c>
      <x:c r="AA51" s="26" t="str">
        <x:f>IF($T51="","",IF($T51&lt;=5,0,IF($T51&lt;=8,5,IF($T51&lt;=10,12,IF($T51&lt;=12,20,35)))))</x:f>
      </x:c>
      <x:c r="AB51" s="26" t="str">
        <x:f>IF($J51="","",($K51*18)+IF($L51&gt;=3,10,IF($L51=2,3,0))+IF($M51="Yes",5,0)+IF($N51="Yes",15,0)+IF($O51="Yes",50,0))</x:f>
      </x:c>
      <x:c r="AC51" s="26" t="str">
        <x:f>IF($U51="","",IF($U51&gt;=0.11,20,IF($U51&gt;=0.09,12,IF($U51&gt;=0.075,6,0))))</x:f>
      </x:c>
      <x:c r="AD51" s="26" t="str">
        <x:f>IF($H51="","",ROUND(($R51*0.25)+($S51*0.20)+($Y51*0.25)+((100-$Z51-$AA51-$AB51-$AC51)*0.30),1))</x:f>
      </x:c>
      <x:c r="AE51" s="2" t="str">
        <x:f>IF($AD51="","",IF($O51="Yes","SKIP - title issue",IF($X51&gt;Inputs!$B$5,"OVER BUDGET",IF($AD51&gt;=82,"BUY",IF($AD51&gt;=70,"MAYBE","SKIP")))))</x:f>
      </x:c>
      <x:c r="AF51" s="2"/>
    </x:row>
    <x:row r="52">
      <x:c r="A52" s="2" t="str">
        <x:f>IF($AD52="","",COUNTIF($AD$2:$AD$101,"&gt;"&amp;$AD52)+COUNTIFS($AD$2:$AD52,$AD52))</x:f>
      </x:c>
      <x:c r="B52" s="2"/>
      <x:c r="C52" s="2"/>
      <x:c r="D52" s="2"/>
      <x:c r="E52" s="2"/>
      <x:c r="F52" s="2"/>
      <x:c r="G52" s="2"/>
      <x:c r="H52" s="20"/>
      <x:c r="I52" s="22"/>
      <x:c r="J52" s="22"/>
      <x:c r="K52" s="2"/>
      <x:c r="L52" s="2"/>
      <x:c r="M52" s="2"/>
      <x:c r="N52" s="2"/>
      <x:c r="O52" s="2"/>
      <x:c r="P52" s="2"/>
      <x:c r="Q52" s="2"/>
      <x:c r="R52" s="2" t="str">
        <x:f>IFERROR(VLOOKUP($Q52,'Model Scores'!$A$2:$D$100,2,FALSE),70)</x:f>
      </x:c>
      <x:c r="S52" s="2" t="str">
        <x:f>IFERROR(VLOOKUP($Q52,'Model Scores'!$A$2:$D$100,3,FALSE),60)</x:f>
      </x:c>
      <x:c r="T52" s="2" t="str">
        <x:f>IF($C52="","",Inputs!$B$12-$C52)</x:f>
      </x:c>
      <x:c r="U52" s="24" t="str">
        <x:f>IF($H52="","",Inputs!$B$7+IF($C52&lt;=2016,Inputs!$B$8,0)+IF($I52&gt;100000,Inputs!$B$9,0)+IF($I52&gt;120000,Inputs!$B$10,0)+IF($I52&gt;150000,Inputs!$B$11,0))</x:f>
      </x:c>
      <x:c r="V52" s="20" t="str">
        <x:f>IF($H52="","",$H52*(1+Inputs!$B$3)+Inputs!$B$4)</x:f>
      </x:c>
      <x:c r="W52" s="20" t="str">
        <x:f>IF($V52="","",MAX(0,$V52-Inputs!$B$2))</x:f>
      </x:c>
      <x:c r="X52" s="20" t="str">
        <x:f>IF($W52="","",IF($U52=0,$W52/Inputs!$B$6,PMT($U52/12,Inputs!$B$6,-$W52)))</x:f>
      </x:c>
      <x:c r="Y52" s="26" t="str">
        <x:f>IF($X52="","",MAX(0,100-(MAX(0,$X52-Inputs!$B$5)*Inputs!$B$14)))</x:f>
      </x:c>
      <x:c r="Z52" s="26" t="str">
        <x:f>IF($I52="","",IF($I52&lt;=60000,0,IF($I52&lt;=90000,5,IF($I52&lt;=110000,12,IF($I52&lt;=130000,22,IF($I52&lt;=150000,35,50))))))</x:f>
      </x:c>
      <x:c r="AA52" s="26" t="str">
        <x:f>IF($T52="","",IF($T52&lt;=5,0,IF($T52&lt;=8,5,IF($T52&lt;=10,12,IF($T52&lt;=12,20,35)))))</x:f>
      </x:c>
      <x:c r="AB52" s="26" t="str">
        <x:f>IF($J52="","",($K52*18)+IF($L52&gt;=3,10,IF($L52=2,3,0))+IF($M52="Yes",5,0)+IF($N52="Yes",15,0)+IF($O52="Yes",50,0))</x:f>
      </x:c>
      <x:c r="AC52" s="26" t="str">
        <x:f>IF($U52="","",IF($U52&gt;=0.11,20,IF($U52&gt;=0.09,12,IF($U52&gt;=0.075,6,0))))</x:f>
      </x:c>
      <x:c r="AD52" s="26" t="str">
        <x:f>IF($H52="","",ROUND(($R52*0.25)+($S52*0.20)+($Y52*0.25)+((100-$Z52-$AA52-$AB52-$AC52)*0.30),1))</x:f>
      </x:c>
      <x:c r="AE52" s="2" t="str">
        <x:f>IF($AD52="","",IF($O52="Yes","SKIP - title issue",IF($X52&gt;Inputs!$B$5,"OVER BUDGET",IF($AD52&gt;=82,"BUY",IF($AD52&gt;=70,"MAYBE","SKIP")))))</x:f>
      </x:c>
      <x:c r="AF52" s="2"/>
    </x:row>
    <x:row r="53">
      <x:c r="A53" s="2" t="str">
        <x:f>IF($AD53="","",COUNTIF($AD$2:$AD$101,"&gt;"&amp;$AD53)+COUNTIFS($AD$2:$AD53,$AD53))</x:f>
      </x:c>
      <x:c r="B53" s="2"/>
      <x:c r="C53" s="2"/>
      <x:c r="D53" s="2"/>
      <x:c r="E53" s="2"/>
      <x:c r="F53" s="2"/>
      <x:c r="G53" s="2"/>
      <x:c r="H53" s="20"/>
      <x:c r="I53" s="22"/>
      <x:c r="J53" s="22"/>
      <x:c r="K53" s="2"/>
      <x:c r="L53" s="2"/>
      <x:c r="M53" s="2"/>
      <x:c r="N53" s="2"/>
      <x:c r="O53" s="2"/>
      <x:c r="P53" s="2"/>
      <x:c r="Q53" s="2"/>
      <x:c r="R53" s="2" t="str">
        <x:f>IFERROR(VLOOKUP($Q53,'Model Scores'!$A$2:$D$100,2,FALSE),70)</x:f>
      </x:c>
      <x:c r="S53" s="2" t="str">
        <x:f>IFERROR(VLOOKUP($Q53,'Model Scores'!$A$2:$D$100,3,FALSE),60)</x:f>
      </x:c>
      <x:c r="T53" s="2" t="str">
        <x:f>IF($C53="","",Inputs!$B$12-$C53)</x:f>
      </x:c>
      <x:c r="U53" s="24" t="str">
        <x:f>IF($H53="","",Inputs!$B$7+IF($C53&lt;=2016,Inputs!$B$8,0)+IF($I53&gt;100000,Inputs!$B$9,0)+IF($I53&gt;120000,Inputs!$B$10,0)+IF($I53&gt;150000,Inputs!$B$11,0))</x:f>
      </x:c>
      <x:c r="V53" s="20" t="str">
        <x:f>IF($H53="","",$H53*(1+Inputs!$B$3)+Inputs!$B$4)</x:f>
      </x:c>
      <x:c r="W53" s="20" t="str">
        <x:f>IF($V53="","",MAX(0,$V53-Inputs!$B$2))</x:f>
      </x:c>
      <x:c r="X53" s="20" t="str">
        <x:f>IF($W53="","",IF($U53=0,$W53/Inputs!$B$6,PMT($U53/12,Inputs!$B$6,-$W53)))</x:f>
      </x:c>
      <x:c r="Y53" s="26" t="str">
        <x:f>IF($X53="","",MAX(0,100-(MAX(0,$X53-Inputs!$B$5)*Inputs!$B$14)))</x:f>
      </x:c>
      <x:c r="Z53" s="26" t="str">
        <x:f>IF($I53="","",IF($I53&lt;=60000,0,IF($I53&lt;=90000,5,IF($I53&lt;=110000,12,IF($I53&lt;=130000,22,IF($I53&lt;=150000,35,50))))))</x:f>
      </x:c>
      <x:c r="AA53" s="26" t="str">
        <x:f>IF($T53="","",IF($T53&lt;=5,0,IF($T53&lt;=8,5,IF($T53&lt;=10,12,IF($T53&lt;=12,20,35)))))</x:f>
      </x:c>
      <x:c r="AB53" s="26" t="str">
        <x:f>IF($J53="","",($K53*18)+IF($L53&gt;=3,10,IF($L53=2,3,0))+IF($M53="Yes",5,0)+IF($N53="Yes",15,0)+IF($O53="Yes",50,0))</x:f>
      </x:c>
      <x:c r="AC53" s="26" t="str">
        <x:f>IF($U53="","",IF($U53&gt;=0.11,20,IF($U53&gt;=0.09,12,IF($U53&gt;=0.075,6,0))))</x:f>
      </x:c>
      <x:c r="AD53" s="26" t="str">
        <x:f>IF($H53="","",ROUND(($R53*0.25)+($S53*0.20)+($Y53*0.25)+((100-$Z53-$AA53-$AB53-$AC53)*0.30),1))</x:f>
      </x:c>
      <x:c r="AE53" s="2" t="str">
        <x:f>IF($AD53="","",IF($O53="Yes","SKIP - title issue",IF($X53&gt;Inputs!$B$5,"OVER BUDGET",IF($AD53&gt;=82,"BUY",IF($AD53&gt;=70,"MAYBE","SKIP")))))</x:f>
      </x:c>
      <x:c r="AF53" s="2"/>
    </x:row>
    <x:row r="54">
      <x:c r="A54" s="2" t="str">
        <x:f>IF($AD54="","",COUNTIF($AD$2:$AD$101,"&gt;"&amp;$AD54)+COUNTIFS($AD$2:$AD54,$AD54))</x:f>
      </x:c>
      <x:c r="B54" s="2"/>
      <x:c r="C54" s="2"/>
      <x:c r="D54" s="2"/>
      <x:c r="E54" s="2"/>
      <x:c r="F54" s="2"/>
      <x:c r="G54" s="2"/>
      <x:c r="H54" s="20"/>
      <x:c r="I54" s="22"/>
      <x:c r="J54" s="22"/>
      <x:c r="K54" s="2"/>
      <x:c r="L54" s="2"/>
      <x:c r="M54" s="2"/>
      <x:c r="N54" s="2"/>
      <x:c r="O54" s="2"/>
      <x:c r="P54" s="2"/>
      <x:c r="Q54" s="2"/>
      <x:c r="R54" s="2" t="str">
        <x:f>IFERROR(VLOOKUP($Q54,'Model Scores'!$A$2:$D$100,2,FALSE),70)</x:f>
      </x:c>
      <x:c r="S54" s="2" t="str">
        <x:f>IFERROR(VLOOKUP($Q54,'Model Scores'!$A$2:$D$100,3,FALSE),60)</x:f>
      </x:c>
      <x:c r="T54" s="2" t="str">
        <x:f>IF($C54="","",Inputs!$B$12-$C54)</x:f>
      </x:c>
      <x:c r="U54" s="24" t="str">
        <x:f>IF($H54="","",Inputs!$B$7+IF($C54&lt;=2016,Inputs!$B$8,0)+IF($I54&gt;100000,Inputs!$B$9,0)+IF($I54&gt;120000,Inputs!$B$10,0)+IF($I54&gt;150000,Inputs!$B$11,0))</x:f>
      </x:c>
      <x:c r="V54" s="20" t="str">
        <x:f>IF($H54="","",$H54*(1+Inputs!$B$3)+Inputs!$B$4)</x:f>
      </x:c>
      <x:c r="W54" s="20" t="str">
        <x:f>IF($V54="","",MAX(0,$V54-Inputs!$B$2))</x:f>
      </x:c>
      <x:c r="X54" s="20" t="str">
        <x:f>IF($W54="","",IF($U54=0,$W54/Inputs!$B$6,PMT($U54/12,Inputs!$B$6,-$W54)))</x:f>
      </x:c>
      <x:c r="Y54" s="26" t="str">
        <x:f>IF($X54="","",MAX(0,100-(MAX(0,$X54-Inputs!$B$5)*Inputs!$B$14)))</x:f>
      </x:c>
      <x:c r="Z54" s="26" t="str">
        <x:f>IF($I54="","",IF($I54&lt;=60000,0,IF($I54&lt;=90000,5,IF($I54&lt;=110000,12,IF($I54&lt;=130000,22,IF($I54&lt;=150000,35,50))))))</x:f>
      </x:c>
      <x:c r="AA54" s="26" t="str">
        <x:f>IF($T54="","",IF($T54&lt;=5,0,IF($T54&lt;=8,5,IF($T54&lt;=10,12,IF($T54&lt;=12,20,35)))))</x:f>
      </x:c>
      <x:c r="AB54" s="26" t="str">
        <x:f>IF($J54="","",($K54*18)+IF($L54&gt;=3,10,IF($L54=2,3,0))+IF($M54="Yes",5,0)+IF($N54="Yes",15,0)+IF($O54="Yes",50,0))</x:f>
      </x:c>
      <x:c r="AC54" s="26" t="str">
        <x:f>IF($U54="","",IF($U54&gt;=0.11,20,IF($U54&gt;=0.09,12,IF($U54&gt;=0.075,6,0))))</x:f>
      </x:c>
      <x:c r="AD54" s="26" t="str">
        <x:f>IF($H54="","",ROUND(($R54*0.25)+($S54*0.20)+($Y54*0.25)+((100-$Z54-$AA54-$AB54-$AC54)*0.30),1))</x:f>
      </x:c>
      <x:c r="AE54" s="2" t="str">
        <x:f>IF($AD54="","",IF($O54="Yes","SKIP - title issue",IF($X54&gt;Inputs!$B$5,"OVER BUDGET",IF($AD54&gt;=82,"BUY",IF($AD54&gt;=70,"MAYBE","SKIP")))))</x:f>
      </x:c>
      <x:c r="AF54" s="2"/>
    </x:row>
    <x:row r="55">
      <x:c r="A55" s="2" t="str">
        <x:f>IF($AD55="","",COUNTIF($AD$2:$AD$101,"&gt;"&amp;$AD55)+COUNTIFS($AD$2:$AD55,$AD55))</x:f>
      </x:c>
      <x:c r="B55" s="2"/>
      <x:c r="C55" s="2"/>
      <x:c r="D55" s="2"/>
      <x:c r="E55" s="2"/>
      <x:c r="F55" s="2"/>
      <x:c r="G55" s="2"/>
      <x:c r="H55" s="20"/>
      <x:c r="I55" s="22"/>
      <x:c r="J55" s="22"/>
      <x:c r="K55" s="2"/>
      <x:c r="L55" s="2"/>
      <x:c r="M55" s="2"/>
      <x:c r="N55" s="2"/>
      <x:c r="O55" s="2"/>
      <x:c r="P55" s="2"/>
      <x:c r="Q55" s="2"/>
      <x:c r="R55" s="2" t="str">
        <x:f>IFERROR(VLOOKUP($Q55,'Model Scores'!$A$2:$D$100,2,FALSE),70)</x:f>
      </x:c>
      <x:c r="S55" s="2" t="str">
        <x:f>IFERROR(VLOOKUP($Q55,'Model Scores'!$A$2:$D$100,3,FALSE),60)</x:f>
      </x:c>
      <x:c r="T55" s="2" t="str">
        <x:f>IF($C55="","",Inputs!$B$12-$C55)</x:f>
      </x:c>
      <x:c r="U55" s="24" t="str">
        <x:f>IF($H55="","",Inputs!$B$7+IF($C55&lt;=2016,Inputs!$B$8,0)+IF($I55&gt;100000,Inputs!$B$9,0)+IF($I55&gt;120000,Inputs!$B$10,0)+IF($I55&gt;150000,Inputs!$B$11,0))</x:f>
      </x:c>
      <x:c r="V55" s="20" t="str">
        <x:f>IF($H55="","",$H55*(1+Inputs!$B$3)+Inputs!$B$4)</x:f>
      </x:c>
      <x:c r="W55" s="20" t="str">
        <x:f>IF($V55="","",MAX(0,$V55-Inputs!$B$2))</x:f>
      </x:c>
      <x:c r="X55" s="20" t="str">
        <x:f>IF($W55="","",IF($U55=0,$W55/Inputs!$B$6,PMT($U55/12,Inputs!$B$6,-$W55)))</x:f>
      </x:c>
      <x:c r="Y55" s="26" t="str">
        <x:f>IF($X55="","",MAX(0,100-(MAX(0,$X55-Inputs!$B$5)*Inputs!$B$14)))</x:f>
      </x:c>
      <x:c r="Z55" s="26" t="str">
        <x:f>IF($I55="","",IF($I55&lt;=60000,0,IF($I55&lt;=90000,5,IF($I55&lt;=110000,12,IF($I55&lt;=130000,22,IF($I55&lt;=150000,35,50))))))</x:f>
      </x:c>
      <x:c r="AA55" s="26" t="str">
        <x:f>IF($T55="","",IF($T55&lt;=5,0,IF($T55&lt;=8,5,IF($T55&lt;=10,12,IF($T55&lt;=12,20,35)))))</x:f>
      </x:c>
      <x:c r="AB55" s="26" t="str">
        <x:f>IF($J55="","",($K55*18)+IF($L55&gt;=3,10,IF($L55=2,3,0))+IF($M55="Yes",5,0)+IF($N55="Yes",15,0)+IF($O55="Yes",50,0))</x:f>
      </x:c>
      <x:c r="AC55" s="26" t="str">
        <x:f>IF($U55="","",IF($U55&gt;=0.11,20,IF($U55&gt;=0.09,12,IF($U55&gt;=0.075,6,0))))</x:f>
      </x:c>
      <x:c r="AD55" s="26" t="str">
        <x:f>IF($H55="","",ROUND(($R55*0.25)+($S55*0.20)+($Y55*0.25)+((100-$Z55-$AA55-$AB55-$AC55)*0.30),1))</x:f>
      </x:c>
      <x:c r="AE55" s="2" t="str">
        <x:f>IF($AD55="","",IF($O55="Yes","SKIP - title issue",IF($X55&gt;Inputs!$B$5,"OVER BUDGET",IF($AD55&gt;=82,"BUY",IF($AD55&gt;=70,"MAYBE","SKIP")))))</x:f>
      </x:c>
      <x:c r="AF55" s="2"/>
    </x:row>
    <x:row r="56">
      <x:c r="A56" s="2" t="str">
        <x:f>IF($AD56="","",COUNTIF($AD$2:$AD$101,"&gt;"&amp;$AD56)+COUNTIFS($AD$2:$AD56,$AD56))</x:f>
      </x:c>
      <x:c r="B56" s="2"/>
      <x:c r="C56" s="2"/>
      <x:c r="D56" s="2"/>
      <x:c r="E56" s="2"/>
      <x:c r="F56" s="2"/>
      <x:c r="G56" s="2"/>
      <x:c r="H56" s="20"/>
      <x:c r="I56" s="22"/>
      <x:c r="J56" s="22"/>
      <x:c r="K56" s="2"/>
      <x:c r="L56" s="2"/>
      <x:c r="M56" s="2"/>
      <x:c r="N56" s="2"/>
      <x:c r="O56" s="2"/>
      <x:c r="P56" s="2"/>
      <x:c r="Q56" s="2"/>
      <x:c r="R56" s="2" t="str">
        <x:f>IFERROR(VLOOKUP($Q56,'Model Scores'!$A$2:$D$100,2,FALSE),70)</x:f>
      </x:c>
      <x:c r="S56" s="2" t="str">
        <x:f>IFERROR(VLOOKUP($Q56,'Model Scores'!$A$2:$D$100,3,FALSE),60)</x:f>
      </x:c>
      <x:c r="T56" s="2" t="str">
        <x:f>IF($C56="","",Inputs!$B$12-$C56)</x:f>
      </x:c>
      <x:c r="U56" s="24" t="str">
        <x:f>IF($H56="","",Inputs!$B$7+IF($C56&lt;=2016,Inputs!$B$8,0)+IF($I56&gt;100000,Inputs!$B$9,0)+IF($I56&gt;120000,Inputs!$B$10,0)+IF($I56&gt;150000,Inputs!$B$11,0))</x:f>
      </x:c>
      <x:c r="V56" s="20" t="str">
        <x:f>IF($H56="","",$H56*(1+Inputs!$B$3)+Inputs!$B$4)</x:f>
      </x:c>
      <x:c r="W56" s="20" t="str">
        <x:f>IF($V56="","",MAX(0,$V56-Inputs!$B$2))</x:f>
      </x:c>
      <x:c r="X56" s="20" t="str">
        <x:f>IF($W56="","",IF($U56=0,$W56/Inputs!$B$6,PMT($U56/12,Inputs!$B$6,-$W56)))</x:f>
      </x:c>
      <x:c r="Y56" s="26" t="str">
        <x:f>IF($X56="","",MAX(0,100-(MAX(0,$X56-Inputs!$B$5)*Inputs!$B$14)))</x:f>
      </x:c>
      <x:c r="Z56" s="26" t="str">
        <x:f>IF($I56="","",IF($I56&lt;=60000,0,IF($I56&lt;=90000,5,IF($I56&lt;=110000,12,IF($I56&lt;=130000,22,IF($I56&lt;=150000,35,50))))))</x:f>
      </x:c>
      <x:c r="AA56" s="26" t="str">
        <x:f>IF($T56="","",IF($T56&lt;=5,0,IF($T56&lt;=8,5,IF($T56&lt;=10,12,IF($T56&lt;=12,20,35)))))</x:f>
      </x:c>
      <x:c r="AB56" s="26" t="str">
        <x:f>IF($J56="","",($K56*18)+IF($L56&gt;=3,10,IF($L56=2,3,0))+IF($M56="Yes",5,0)+IF($N56="Yes",15,0)+IF($O56="Yes",50,0))</x:f>
      </x:c>
      <x:c r="AC56" s="26" t="str">
        <x:f>IF($U56="","",IF($U56&gt;=0.11,20,IF($U56&gt;=0.09,12,IF($U56&gt;=0.075,6,0))))</x:f>
      </x:c>
      <x:c r="AD56" s="26" t="str">
        <x:f>IF($H56="","",ROUND(($R56*0.25)+($S56*0.20)+($Y56*0.25)+((100-$Z56-$AA56-$AB56-$AC56)*0.30),1))</x:f>
      </x:c>
      <x:c r="AE56" s="2" t="str">
        <x:f>IF($AD56="","",IF($O56="Yes","SKIP - title issue",IF($X56&gt;Inputs!$B$5,"OVER BUDGET",IF($AD56&gt;=82,"BUY",IF($AD56&gt;=70,"MAYBE","SKIP")))))</x:f>
      </x:c>
      <x:c r="AF56" s="2"/>
    </x:row>
    <x:row r="57">
      <x:c r="A57" s="2" t="str">
        <x:f>IF($AD57="","",COUNTIF($AD$2:$AD$101,"&gt;"&amp;$AD57)+COUNTIFS($AD$2:$AD57,$AD57))</x:f>
      </x:c>
      <x:c r="B57" s="2"/>
      <x:c r="C57" s="2"/>
      <x:c r="D57" s="2"/>
      <x:c r="E57" s="2"/>
      <x:c r="F57" s="2"/>
      <x:c r="G57" s="2"/>
      <x:c r="H57" s="20"/>
      <x:c r="I57" s="22"/>
      <x:c r="J57" s="22"/>
      <x:c r="K57" s="2"/>
      <x:c r="L57" s="2"/>
      <x:c r="M57" s="2"/>
      <x:c r="N57" s="2"/>
      <x:c r="O57" s="2"/>
      <x:c r="P57" s="2"/>
      <x:c r="Q57" s="2"/>
      <x:c r="R57" s="2" t="str">
        <x:f>IFERROR(VLOOKUP($Q57,'Model Scores'!$A$2:$D$100,2,FALSE),70)</x:f>
      </x:c>
      <x:c r="S57" s="2" t="str">
        <x:f>IFERROR(VLOOKUP($Q57,'Model Scores'!$A$2:$D$100,3,FALSE),60)</x:f>
      </x:c>
      <x:c r="T57" s="2" t="str">
        <x:f>IF($C57="","",Inputs!$B$12-$C57)</x:f>
      </x:c>
      <x:c r="U57" s="24" t="str">
        <x:f>IF($H57="","",Inputs!$B$7+IF($C57&lt;=2016,Inputs!$B$8,0)+IF($I57&gt;100000,Inputs!$B$9,0)+IF($I57&gt;120000,Inputs!$B$10,0)+IF($I57&gt;150000,Inputs!$B$11,0))</x:f>
      </x:c>
      <x:c r="V57" s="20" t="str">
        <x:f>IF($H57="","",$H57*(1+Inputs!$B$3)+Inputs!$B$4)</x:f>
      </x:c>
      <x:c r="W57" s="20" t="str">
        <x:f>IF($V57="","",MAX(0,$V57-Inputs!$B$2))</x:f>
      </x:c>
      <x:c r="X57" s="20" t="str">
        <x:f>IF($W57="","",IF($U57=0,$W57/Inputs!$B$6,PMT($U57/12,Inputs!$B$6,-$W57)))</x:f>
      </x:c>
      <x:c r="Y57" s="26" t="str">
        <x:f>IF($X57="","",MAX(0,100-(MAX(0,$X57-Inputs!$B$5)*Inputs!$B$14)))</x:f>
      </x:c>
      <x:c r="Z57" s="26" t="str">
        <x:f>IF($I57="","",IF($I57&lt;=60000,0,IF($I57&lt;=90000,5,IF($I57&lt;=110000,12,IF($I57&lt;=130000,22,IF($I57&lt;=150000,35,50))))))</x:f>
      </x:c>
      <x:c r="AA57" s="26" t="str">
        <x:f>IF($T57="","",IF($T57&lt;=5,0,IF($T57&lt;=8,5,IF($T57&lt;=10,12,IF($T57&lt;=12,20,35)))))</x:f>
      </x:c>
      <x:c r="AB57" s="26" t="str">
        <x:f>IF($J57="","",($K57*18)+IF($L57&gt;=3,10,IF($L57=2,3,0))+IF($M57="Yes",5,0)+IF($N57="Yes",15,0)+IF($O57="Yes",50,0))</x:f>
      </x:c>
      <x:c r="AC57" s="26" t="str">
        <x:f>IF($U57="","",IF($U57&gt;=0.11,20,IF($U57&gt;=0.09,12,IF($U57&gt;=0.075,6,0))))</x:f>
      </x:c>
      <x:c r="AD57" s="26" t="str">
        <x:f>IF($H57="","",ROUND(($R57*0.25)+($S57*0.20)+($Y57*0.25)+((100-$Z57-$AA57-$AB57-$AC57)*0.30),1))</x:f>
      </x:c>
      <x:c r="AE57" s="2" t="str">
        <x:f>IF($AD57="","",IF($O57="Yes","SKIP - title issue",IF($X57&gt;Inputs!$B$5,"OVER BUDGET",IF($AD57&gt;=82,"BUY",IF($AD57&gt;=70,"MAYBE","SKIP")))))</x:f>
      </x:c>
      <x:c r="AF57" s="2"/>
    </x:row>
    <x:row r="58">
      <x:c r="A58" s="2" t="str">
        <x:f>IF($AD58="","",COUNTIF($AD$2:$AD$101,"&gt;"&amp;$AD58)+COUNTIFS($AD$2:$AD58,$AD58))</x:f>
      </x:c>
      <x:c r="B58" s="2"/>
      <x:c r="C58" s="2"/>
      <x:c r="D58" s="2"/>
      <x:c r="E58" s="2"/>
      <x:c r="F58" s="2"/>
      <x:c r="G58" s="2"/>
      <x:c r="H58" s="20"/>
      <x:c r="I58" s="22"/>
      <x:c r="J58" s="22"/>
      <x:c r="K58" s="2"/>
      <x:c r="L58" s="2"/>
      <x:c r="M58" s="2"/>
      <x:c r="N58" s="2"/>
      <x:c r="O58" s="2"/>
      <x:c r="P58" s="2"/>
      <x:c r="Q58" s="2"/>
      <x:c r="R58" s="2" t="str">
        <x:f>IFERROR(VLOOKUP($Q58,'Model Scores'!$A$2:$D$100,2,FALSE),70)</x:f>
      </x:c>
      <x:c r="S58" s="2" t="str">
        <x:f>IFERROR(VLOOKUP($Q58,'Model Scores'!$A$2:$D$100,3,FALSE),60)</x:f>
      </x:c>
      <x:c r="T58" s="2" t="str">
        <x:f>IF($C58="","",Inputs!$B$12-$C58)</x:f>
      </x:c>
      <x:c r="U58" s="24" t="str">
        <x:f>IF($H58="","",Inputs!$B$7+IF($C58&lt;=2016,Inputs!$B$8,0)+IF($I58&gt;100000,Inputs!$B$9,0)+IF($I58&gt;120000,Inputs!$B$10,0)+IF($I58&gt;150000,Inputs!$B$11,0))</x:f>
      </x:c>
      <x:c r="V58" s="20" t="str">
        <x:f>IF($H58="","",$H58*(1+Inputs!$B$3)+Inputs!$B$4)</x:f>
      </x:c>
      <x:c r="W58" s="20" t="str">
        <x:f>IF($V58="","",MAX(0,$V58-Inputs!$B$2))</x:f>
      </x:c>
      <x:c r="X58" s="20" t="str">
        <x:f>IF($W58="","",IF($U58=0,$W58/Inputs!$B$6,PMT($U58/12,Inputs!$B$6,-$W58)))</x:f>
      </x:c>
      <x:c r="Y58" s="26" t="str">
        <x:f>IF($X58="","",MAX(0,100-(MAX(0,$X58-Inputs!$B$5)*Inputs!$B$14)))</x:f>
      </x:c>
      <x:c r="Z58" s="26" t="str">
        <x:f>IF($I58="","",IF($I58&lt;=60000,0,IF($I58&lt;=90000,5,IF($I58&lt;=110000,12,IF($I58&lt;=130000,22,IF($I58&lt;=150000,35,50))))))</x:f>
      </x:c>
      <x:c r="AA58" s="26" t="str">
        <x:f>IF($T58="","",IF($T58&lt;=5,0,IF($T58&lt;=8,5,IF($T58&lt;=10,12,IF($T58&lt;=12,20,35)))))</x:f>
      </x:c>
      <x:c r="AB58" s="26" t="str">
        <x:f>IF($J58="","",($K58*18)+IF($L58&gt;=3,10,IF($L58=2,3,0))+IF($M58="Yes",5,0)+IF($N58="Yes",15,0)+IF($O58="Yes",50,0))</x:f>
      </x:c>
      <x:c r="AC58" s="26" t="str">
        <x:f>IF($U58="","",IF($U58&gt;=0.11,20,IF($U58&gt;=0.09,12,IF($U58&gt;=0.075,6,0))))</x:f>
      </x:c>
      <x:c r="AD58" s="26" t="str">
        <x:f>IF($H58="","",ROUND(($R58*0.25)+($S58*0.20)+($Y58*0.25)+((100-$Z58-$AA58-$AB58-$AC58)*0.30),1))</x:f>
      </x:c>
      <x:c r="AE58" s="2" t="str">
        <x:f>IF($AD58="","",IF($O58="Yes","SKIP - title issue",IF($X58&gt;Inputs!$B$5,"OVER BUDGET",IF($AD58&gt;=82,"BUY",IF($AD58&gt;=70,"MAYBE","SKIP")))))</x:f>
      </x:c>
      <x:c r="AF58" s="2"/>
    </x:row>
    <x:row r="59">
      <x:c r="A59" s="2" t="str">
        <x:f>IF($AD59="","",COUNTIF($AD$2:$AD$101,"&gt;"&amp;$AD59)+COUNTIFS($AD$2:$AD59,$AD59))</x:f>
      </x:c>
      <x:c r="B59" s="2"/>
      <x:c r="C59" s="2"/>
      <x:c r="D59" s="2"/>
      <x:c r="E59" s="2"/>
      <x:c r="F59" s="2"/>
      <x:c r="G59" s="2"/>
      <x:c r="H59" s="20"/>
      <x:c r="I59" s="22"/>
      <x:c r="J59" s="22"/>
      <x:c r="K59" s="2"/>
      <x:c r="L59" s="2"/>
      <x:c r="M59" s="2"/>
      <x:c r="N59" s="2"/>
      <x:c r="O59" s="2"/>
      <x:c r="P59" s="2"/>
      <x:c r="Q59" s="2"/>
      <x:c r="R59" s="2" t="str">
        <x:f>IFERROR(VLOOKUP($Q59,'Model Scores'!$A$2:$D$100,2,FALSE),70)</x:f>
      </x:c>
      <x:c r="S59" s="2" t="str">
        <x:f>IFERROR(VLOOKUP($Q59,'Model Scores'!$A$2:$D$100,3,FALSE),60)</x:f>
      </x:c>
      <x:c r="T59" s="2" t="str">
        <x:f>IF($C59="","",Inputs!$B$12-$C59)</x:f>
      </x:c>
      <x:c r="U59" s="24" t="str">
        <x:f>IF($H59="","",Inputs!$B$7+IF($C59&lt;=2016,Inputs!$B$8,0)+IF($I59&gt;100000,Inputs!$B$9,0)+IF($I59&gt;120000,Inputs!$B$10,0)+IF($I59&gt;150000,Inputs!$B$11,0))</x:f>
      </x:c>
      <x:c r="V59" s="20" t="str">
        <x:f>IF($H59="","",$H59*(1+Inputs!$B$3)+Inputs!$B$4)</x:f>
      </x:c>
      <x:c r="W59" s="20" t="str">
        <x:f>IF($V59="","",MAX(0,$V59-Inputs!$B$2))</x:f>
      </x:c>
      <x:c r="X59" s="20" t="str">
        <x:f>IF($W59="","",IF($U59=0,$W59/Inputs!$B$6,PMT($U59/12,Inputs!$B$6,-$W59)))</x:f>
      </x:c>
      <x:c r="Y59" s="26" t="str">
        <x:f>IF($X59="","",MAX(0,100-(MAX(0,$X59-Inputs!$B$5)*Inputs!$B$14)))</x:f>
      </x:c>
      <x:c r="Z59" s="26" t="str">
        <x:f>IF($I59="","",IF($I59&lt;=60000,0,IF($I59&lt;=90000,5,IF($I59&lt;=110000,12,IF($I59&lt;=130000,22,IF($I59&lt;=150000,35,50))))))</x:f>
      </x:c>
      <x:c r="AA59" s="26" t="str">
        <x:f>IF($T59="","",IF($T59&lt;=5,0,IF($T59&lt;=8,5,IF($T59&lt;=10,12,IF($T59&lt;=12,20,35)))))</x:f>
      </x:c>
      <x:c r="AB59" s="26" t="str">
        <x:f>IF($J59="","",($K59*18)+IF($L59&gt;=3,10,IF($L59=2,3,0))+IF($M59="Yes",5,0)+IF($N59="Yes",15,0)+IF($O59="Yes",50,0))</x:f>
      </x:c>
      <x:c r="AC59" s="26" t="str">
        <x:f>IF($U59="","",IF($U59&gt;=0.11,20,IF($U59&gt;=0.09,12,IF($U59&gt;=0.075,6,0))))</x:f>
      </x:c>
      <x:c r="AD59" s="26" t="str">
        <x:f>IF($H59="","",ROUND(($R59*0.25)+($S59*0.20)+($Y59*0.25)+((100-$Z59-$AA59-$AB59-$AC59)*0.30),1))</x:f>
      </x:c>
      <x:c r="AE59" s="2" t="str">
        <x:f>IF($AD59="","",IF($O59="Yes","SKIP - title issue",IF($X59&gt;Inputs!$B$5,"OVER BUDGET",IF($AD59&gt;=82,"BUY",IF($AD59&gt;=70,"MAYBE","SKIP")))))</x:f>
      </x:c>
      <x:c r="AF59" s="2"/>
    </x:row>
    <x:row r="60">
      <x:c r="A60" s="2" t="str">
        <x:f>IF($AD60="","",COUNTIF($AD$2:$AD$101,"&gt;"&amp;$AD60)+COUNTIFS($AD$2:$AD60,$AD60))</x:f>
      </x:c>
      <x:c r="B60" s="2"/>
      <x:c r="C60" s="2"/>
      <x:c r="D60" s="2"/>
      <x:c r="E60" s="2"/>
      <x:c r="F60" s="2"/>
      <x:c r="G60" s="2"/>
      <x:c r="H60" s="20"/>
      <x:c r="I60" s="22"/>
      <x:c r="J60" s="22"/>
      <x:c r="K60" s="2"/>
      <x:c r="L60" s="2"/>
      <x:c r="M60" s="2"/>
      <x:c r="N60" s="2"/>
      <x:c r="O60" s="2"/>
      <x:c r="P60" s="2"/>
      <x:c r="Q60" s="2"/>
      <x:c r="R60" s="2" t="str">
        <x:f>IFERROR(VLOOKUP($Q60,'Model Scores'!$A$2:$D$100,2,FALSE),70)</x:f>
      </x:c>
      <x:c r="S60" s="2" t="str">
        <x:f>IFERROR(VLOOKUP($Q60,'Model Scores'!$A$2:$D$100,3,FALSE),60)</x:f>
      </x:c>
      <x:c r="T60" s="2" t="str">
        <x:f>IF($C60="","",Inputs!$B$12-$C60)</x:f>
      </x:c>
      <x:c r="U60" s="24" t="str">
        <x:f>IF($H60="","",Inputs!$B$7+IF($C60&lt;=2016,Inputs!$B$8,0)+IF($I60&gt;100000,Inputs!$B$9,0)+IF($I60&gt;120000,Inputs!$B$10,0)+IF($I60&gt;150000,Inputs!$B$11,0))</x:f>
      </x:c>
      <x:c r="V60" s="20" t="str">
        <x:f>IF($H60="","",$H60*(1+Inputs!$B$3)+Inputs!$B$4)</x:f>
      </x:c>
      <x:c r="W60" s="20" t="str">
        <x:f>IF($V60="","",MAX(0,$V60-Inputs!$B$2))</x:f>
      </x:c>
      <x:c r="X60" s="20" t="str">
        <x:f>IF($W60="","",IF($U60=0,$W60/Inputs!$B$6,PMT($U60/12,Inputs!$B$6,-$W60)))</x:f>
      </x:c>
      <x:c r="Y60" s="26" t="str">
        <x:f>IF($X60="","",MAX(0,100-(MAX(0,$X60-Inputs!$B$5)*Inputs!$B$14)))</x:f>
      </x:c>
      <x:c r="Z60" s="26" t="str">
        <x:f>IF($I60="","",IF($I60&lt;=60000,0,IF($I60&lt;=90000,5,IF($I60&lt;=110000,12,IF($I60&lt;=130000,22,IF($I60&lt;=150000,35,50))))))</x:f>
      </x:c>
      <x:c r="AA60" s="26" t="str">
        <x:f>IF($T60="","",IF($T60&lt;=5,0,IF($T60&lt;=8,5,IF($T60&lt;=10,12,IF($T60&lt;=12,20,35)))))</x:f>
      </x:c>
      <x:c r="AB60" s="26" t="str">
        <x:f>IF($J60="","",($K60*18)+IF($L60&gt;=3,10,IF($L60=2,3,0))+IF($M60="Yes",5,0)+IF($N60="Yes",15,0)+IF($O60="Yes",50,0))</x:f>
      </x:c>
      <x:c r="AC60" s="26" t="str">
        <x:f>IF($U60="","",IF($U60&gt;=0.11,20,IF($U60&gt;=0.09,12,IF($U60&gt;=0.075,6,0))))</x:f>
      </x:c>
      <x:c r="AD60" s="26" t="str">
        <x:f>IF($H60="","",ROUND(($R60*0.25)+($S60*0.20)+($Y60*0.25)+((100-$Z60-$AA60-$AB60-$AC60)*0.30),1))</x:f>
      </x:c>
      <x:c r="AE60" s="2" t="str">
        <x:f>IF($AD60="","",IF($O60="Yes","SKIP - title issue",IF($X60&gt;Inputs!$B$5,"OVER BUDGET",IF($AD60&gt;=82,"BUY",IF($AD60&gt;=70,"MAYBE","SKIP")))))</x:f>
      </x:c>
      <x:c r="AF60" s="2"/>
    </x:row>
    <x:row r="61">
      <x:c r="A61" s="2" t="str">
        <x:f>IF($AD61="","",COUNTIF($AD$2:$AD$101,"&gt;"&amp;$AD61)+COUNTIFS($AD$2:$AD61,$AD61))</x:f>
      </x:c>
      <x:c r="B61" s="2"/>
      <x:c r="C61" s="2"/>
      <x:c r="D61" s="2"/>
      <x:c r="E61" s="2"/>
      <x:c r="F61" s="2"/>
      <x:c r="G61" s="2"/>
      <x:c r="H61" s="20"/>
      <x:c r="I61" s="22"/>
      <x:c r="J61" s="22"/>
      <x:c r="K61" s="2"/>
      <x:c r="L61" s="2"/>
      <x:c r="M61" s="2"/>
      <x:c r="N61" s="2"/>
      <x:c r="O61" s="2"/>
      <x:c r="P61" s="2"/>
      <x:c r="Q61" s="2"/>
      <x:c r="R61" s="2" t="str">
        <x:f>IFERROR(VLOOKUP($Q61,'Model Scores'!$A$2:$D$100,2,FALSE),70)</x:f>
      </x:c>
      <x:c r="S61" s="2" t="str">
        <x:f>IFERROR(VLOOKUP($Q61,'Model Scores'!$A$2:$D$100,3,FALSE),60)</x:f>
      </x:c>
      <x:c r="T61" s="2" t="str">
        <x:f>IF($C61="","",Inputs!$B$12-$C61)</x:f>
      </x:c>
      <x:c r="U61" s="24" t="str">
        <x:f>IF($H61="","",Inputs!$B$7+IF($C61&lt;=2016,Inputs!$B$8,0)+IF($I61&gt;100000,Inputs!$B$9,0)+IF($I61&gt;120000,Inputs!$B$10,0)+IF($I61&gt;150000,Inputs!$B$11,0))</x:f>
      </x:c>
      <x:c r="V61" s="20" t="str">
        <x:f>IF($H61="","",$H61*(1+Inputs!$B$3)+Inputs!$B$4)</x:f>
      </x:c>
      <x:c r="W61" s="20" t="str">
        <x:f>IF($V61="","",MAX(0,$V61-Inputs!$B$2))</x:f>
      </x:c>
      <x:c r="X61" s="20" t="str">
        <x:f>IF($W61="","",IF($U61=0,$W61/Inputs!$B$6,PMT($U61/12,Inputs!$B$6,-$W61)))</x:f>
      </x:c>
      <x:c r="Y61" s="26" t="str">
        <x:f>IF($X61="","",MAX(0,100-(MAX(0,$X61-Inputs!$B$5)*Inputs!$B$14)))</x:f>
      </x:c>
      <x:c r="Z61" s="26" t="str">
        <x:f>IF($I61="","",IF($I61&lt;=60000,0,IF($I61&lt;=90000,5,IF($I61&lt;=110000,12,IF($I61&lt;=130000,22,IF($I61&lt;=150000,35,50))))))</x:f>
      </x:c>
      <x:c r="AA61" s="26" t="str">
        <x:f>IF($T61="","",IF($T61&lt;=5,0,IF($T61&lt;=8,5,IF($T61&lt;=10,12,IF($T61&lt;=12,20,35)))))</x:f>
      </x:c>
      <x:c r="AB61" s="26" t="str">
        <x:f>IF($J61="","",($K61*18)+IF($L61&gt;=3,10,IF($L61=2,3,0))+IF($M61="Yes",5,0)+IF($N61="Yes",15,0)+IF($O61="Yes",50,0))</x:f>
      </x:c>
      <x:c r="AC61" s="26" t="str">
        <x:f>IF($U61="","",IF($U61&gt;=0.11,20,IF($U61&gt;=0.09,12,IF($U61&gt;=0.075,6,0))))</x:f>
      </x:c>
      <x:c r="AD61" s="26" t="str">
        <x:f>IF($H61="","",ROUND(($R61*0.25)+($S61*0.20)+($Y61*0.25)+((100-$Z61-$AA61-$AB61-$AC61)*0.30),1))</x:f>
      </x:c>
      <x:c r="AE61" s="2" t="str">
        <x:f>IF($AD61="","",IF($O61="Yes","SKIP - title issue",IF($X61&gt;Inputs!$B$5,"OVER BUDGET",IF($AD61&gt;=82,"BUY",IF($AD61&gt;=70,"MAYBE","SKIP")))))</x:f>
      </x:c>
      <x:c r="AF61" s="2"/>
    </x:row>
    <x:row r="62">
      <x:c r="A62" s="2" t="str">
        <x:f>IF($AD62="","",COUNTIF($AD$2:$AD$101,"&gt;"&amp;$AD62)+COUNTIFS($AD$2:$AD62,$AD62))</x:f>
      </x:c>
      <x:c r="B62" s="2"/>
      <x:c r="C62" s="2"/>
      <x:c r="D62" s="2"/>
      <x:c r="E62" s="2"/>
      <x:c r="F62" s="2"/>
      <x:c r="G62" s="2"/>
      <x:c r="H62" s="20"/>
      <x:c r="I62" s="22"/>
      <x:c r="J62" s="22"/>
      <x:c r="K62" s="2"/>
      <x:c r="L62" s="2"/>
      <x:c r="M62" s="2"/>
      <x:c r="N62" s="2"/>
      <x:c r="O62" s="2"/>
      <x:c r="P62" s="2"/>
      <x:c r="Q62" s="2"/>
      <x:c r="R62" s="2" t="str">
        <x:f>IFERROR(VLOOKUP($Q62,'Model Scores'!$A$2:$D$100,2,FALSE),70)</x:f>
      </x:c>
      <x:c r="S62" s="2" t="str">
        <x:f>IFERROR(VLOOKUP($Q62,'Model Scores'!$A$2:$D$100,3,FALSE),60)</x:f>
      </x:c>
      <x:c r="T62" s="2" t="str">
        <x:f>IF($C62="","",Inputs!$B$12-$C62)</x:f>
      </x:c>
      <x:c r="U62" s="24" t="str">
        <x:f>IF($H62="","",Inputs!$B$7+IF($C62&lt;=2016,Inputs!$B$8,0)+IF($I62&gt;100000,Inputs!$B$9,0)+IF($I62&gt;120000,Inputs!$B$10,0)+IF($I62&gt;150000,Inputs!$B$11,0))</x:f>
      </x:c>
      <x:c r="V62" s="20" t="str">
        <x:f>IF($H62="","",$H62*(1+Inputs!$B$3)+Inputs!$B$4)</x:f>
      </x:c>
      <x:c r="W62" s="20" t="str">
        <x:f>IF($V62="","",MAX(0,$V62-Inputs!$B$2))</x:f>
      </x:c>
      <x:c r="X62" s="20" t="str">
        <x:f>IF($W62="","",IF($U62=0,$W62/Inputs!$B$6,PMT($U62/12,Inputs!$B$6,-$W62)))</x:f>
      </x:c>
      <x:c r="Y62" s="26" t="str">
        <x:f>IF($X62="","",MAX(0,100-(MAX(0,$X62-Inputs!$B$5)*Inputs!$B$14)))</x:f>
      </x:c>
      <x:c r="Z62" s="26" t="str">
        <x:f>IF($I62="","",IF($I62&lt;=60000,0,IF($I62&lt;=90000,5,IF($I62&lt;=110000,12,IF($I62&lt;=130000,22,IF($I62&lt;=150000,35,50))))))</x:f>
      </x:c>
      <x:c r="AA62" s="26" t="str">
        <x:f>IF($T62="","",IF($T62&lt;=5,0,IF($T62&lt;=8,5,IF($T62&lt;=10,12,IF($T62&lt;=12,20,35)))))</x:f>
      </x:c>
      <x:c r="AB62" s="26" t="str">
        <x:f>IF($J62="","",($K62*18)+IF($L62&gt;=3,10,IF($L62=2,3,0))+IF($M62="Yes",5,0)+IF($N62="Yes",15,0)+IF($O62="Yes",50,0))</x:f>
      </x:c>
      <x:c r="AC62" s="26" t="str">
        <x:f>IF($U62="","",IF($U62&gt;=0.11,20,IF($U62&gt;=0.09,12,IF($U62&gt;=0.075,6,0))))</x:f>
      </x:c>
      <x:c r="AD62" s="26" t="str">
        <x:f>IF($H62="","",ROUND(($R62*0.25)+($S62*0.20)+($Y62*0.25)+((100-$Z62-$AA62-$AB62-$AC62)*0.30),1))</x:f>
      </x:c>
      <x:c r="AE62" s="2" t="str">
        <x:f>IF($AD62="","",IF($O62="Yes","SKIP - title issue",IF($X62&gt;Inputs!$B$5,"OVER BUDGET",IF($AD62&gt;=82,"BUY",IF($AD62&gt;=70,"MAYBE","SKIP")))))</x:f>
      </x:c>
      <x:c r="AF62" s="2"/>
    </x:row>
    <x:row r="63">
      <x:c r="A63" s="2" t="str">
        <x:f>IF($AD63="","",COUNTIF($AD$2:$AD$101,"&gt;"&amp;$AD63)+COUNTIFS($AD$2:$AD63,$AD63))</x:f>
      </x:c>
      <x:c r="B63" s="2"/>
      <x:c r="C63" s="2"/>
      <x:c r="D63" s="2"/>
      <x:c r="E63" s="2"/>
      <x:c r="F63" s="2"/>
      <x:c r="G63" s="2"/>
      <x:c r="H63" s="20"/>
      <x:c r="I63" s="22"/>
      <x:c r="J63" s="22"/>
      <x:c r="K63" s="2"/>
      <x:c r="L63" s="2"/>
      <x:c r="M63" s="2"/>
      <x:c r="N63" s="2"/>
      <x:c r="O63" s="2"/>
      <x:c r="P63" s="2"/>
      <x:c r="Q63" s="2"/>
      <x:c r="R63" s="2" t="str">
        <x:f>IFERROR(VLOOKUP($Q63,'Model Scores'!$A$2:$D$100,2,FALSE),70)</x:f>
      </x:c>
      <x:c r="S63" s="2" t="str">
        <x:f>IFERROR(VLOOKUP($Q63,'Model Scores'!$A$2:$D$100,3,FALSE),60)</x:f>
      </x:c>
      <x:c r="T63" s="2" t="str">
        <x:f>IF($C63="","",Inputs!$B$12-$C63)</x:f>
      </x:c>
      <x:c r="U63" s="24" t="str">
        <x:f>IF($H63="","",Inputs!$B$7+IF($C63&lt;=2016,Inputs!$B$8,0)+IF($I63&gt;100000,Inputs!$B$9,0)+IF($I63&gt;120000,Inputs!$B$10,0)+IF($I63&gt;150000,Inputs!$B$11,0))</x:f>
      </x:c>
      <x:c r="V63" s="20" t="str">
        <x:f>IF($H63="","",$H63*(1+Inputs!$B$3)+Inputs!$B$4)</x:f>
      </x:c>
      <x:c r="W63" s="20" t="str">
        <x:f>IF($V63="","",MAX(0,$V63-Inputs!$B$2))</x:f>
      </x:c>
      <x:c r="X63" s="20" t="str">
        <x:f>IF($W63="","",IF($U63=0,$W63/Inputs!$B$6,PMT($U63/12,Inputs!$B$6,-$W63)))</x:f>
      </x:c>
      <x:c r="Y63" s="26" t="str">
        <x:f>IF($X63="","",MAX(0,100-(MAX(0,$X63-Inputs!$B$5)*Inputs!$B$14)))</x:f>
      </x:c>
      <x:c r="Z63" s="26" t="str">
        <x:f>IF($I63="","",IF($I63&lt;=60000,0,IF($I63&lt;=90000,5,IF($I63&lt;=110000,12,IF($I63&lt;=130000,22,IF($I63&lt;=150000,35,50))))))</x:f>
      </x:c>
      <x:c r="AA63" s="26" t="str">
        <x:f>IF($T63="","",IF($T63&lt;=5,0,IF($T63&lt;=8,5,IF($T63&lt;=10,12,IF($T63&lt;=12,20,35)))))</x:f>
      </x:c>
      <x:c r="AB63" s="26" t="str">
        <x:f>IF($J63="","",($K63*18)+IF($L63&gt;=3,10,IF($L63=2,3,0))+IF($M63="Yes",5,0)+IF($N63="Yes",15,0)+IF($O63="Yes",50,0))</x:f>
      </x:c>
      <x:c r="AC63" s="26" t="str">
        <x:f>IF($U63="","",IF($U63&gt;=0.11,20,IF($U63&gt;=0.09,12,IF($U63&gt;=0.075,6,0))))</x:f>
      </x:c>
      <x:c r="AD63" s="26" t="str">
        <x:f>IF($H63="","",ROUND(($R63*0.25)+($S63*0.20)+($Y63*0.25)+((100-$Z63-$AA63-$AB63-$AC63)*0.30),1))</x:f>
      </x:c>
      <x:c r="AE63" s="2" t="str">
        <x:f>IF($AD63="","",IF($O63="Yes","SKIP - title issue",IF($X63&gt;Inputs!$B$5,"OVER BUDGET",IF($AD63&gt;=82,"BUY",IF($AD63&gt;=70,"MAYBE","SKIP")))))</x:f>
      </x:c>
      <x:c r="AF63" s="2"/>
    </x:row>
    <x:row r="64">
      <x:c r="A64" s="2" t="str">
        <x:f>IF($AD64="","",COUNTIF($AD$2:$AD$101,"&gt;"&amp;$AD64)+COUNTIFS($AD$2:$AD64,$AD64))</x:f>
      </x:c>
      <x:c r="B64" s="2"/>
      <x:c r="C64" s="2"/>
      <x:c r="D64" s="2"/>
      <x:c r="E64" s="2"/>
      <x:c r="F64" s="2"/>
      <x:c r="G64" s="2"/>
      <x:c r="H64" s="20"/>
      <x:c r="I64" s="22"/>
      <x:c r="J64" s="22"/>
      <x:c r="K64" s="2"/>
      <x:c r="L64" s="2"/>
      <x:c r="M64" s="2"/>
      <x:c r="N64" s="2"/>
      <x:c r="O64" s="2"/>
      <x:c r="P64" s="2"/>
      <x:c r="Q64" s="2"/>
      <x:c r="R64" s="2" t="str">
        <x:f>IFERROR(VLOOKUP($Q64,'Model Scores'!$A$2:$D$100,2,FALSE),70)</x:f>
      </x:c>
      <x:c r="S64" s="2" t="str">
        <x:f>IFERROR(VLOOKUP($Q64,'Model Scores'!$A$2:$D$100,3,FALSE),60)</x:f>
      </x:c>
      <x:c r="T64" s="2" t="str">
        <x:f>IF($C64="","",Inputs!$B$12-$C64)</x:f>
      </x:c>
      <x:c r="U64" s="24" t="str">
        <x:f>IF($H64="","",Inputs!$B$7+IF($C64&lt;=2016,Inputs!$B$8,0)+IF($I64&gt;100000,Inputs!$B$9,0)+IF($I64&gt;120000,Inputs!$B$10,0)+IF($I64&gt;150000,Inputs!$B$11,0))</x:f>
      </x:c>
      <x:c r="V64" s="20" t="str">
        <x:f>IF($H64="","",$H64*(1+Inputs!$B$3)+Inputs!$B$4)</x:f>
      </x:c>
      <x:c r="W64" s="20" t="str">
        <x:f>IF($V64="","",MAX(0,$V64-Inputs!$B$2))</x:f>
      </x:c>
      <x:c r="X64" s="20" t="str">
        <x:f>IF($W64="","",IF($U64=0,$W64/Inputs!$B$6,PMT($U64/12,Inputs!$B$6,-$W64)))</x:f>
      </x:c>
      <x:c r="Y64" s="26" t="str">
        <x:f>IF($X64="","",MAX(0,100-(MAX(0,$X64-Inputs!$B$5)*Inputs!$B$14)))</x:f>
      </x:c>
      <x:c r="Z64" s="26" t="str">
        <x:f>IF($I64="","",IF($I64&lt;=60000,0,IF($I64&lt;=90000,5,IF($I64&lt;=110000,12,IF($I64&lt;=130000,22,IF($I64&lt;=150000,35,50))))))</x:f>
      </x:c>
      <x:c r="AA64" s="26" t="str">
        <x:f>IF($T64="","",IF($T64&lt;=5,0,IF($T64&lt;=8,5,IF($T64&lt;=10,12,IF($T64&lt;=12,20,35)))))</x:f>
      </x:c>
      <x:c r="AB64" s="26" t="str">
        <x:f>IF($J64="","",($K64*18)+IF($L64&gt;=3,10,IF($L64=2,3,0))+IF($M64="Yes",5,0)+IF($N64="Yes",15,0)+IF($O64="Yes",50,0))</x:f>
      </x:c>
      <x:c r="AC64" s="26" t="str">
        <x:f>IF($U64="","",IF($U64&gt;=0.11,20,IF($U64&gt;=0.09,12,IF($U64&gt;=0.075,6,0))))</x:f>
      </x:c>
      <x:c r="AD64" s="26" t="str">
        <x:f>IF($H64="","",ROUND(($R64*0.25)+($S64*0.20)+($Y64*0.25)+((100-$Z64-$AA64-$AB64-$AC64)*0.30),1))</x:f>
      </x:c>
      <x:c r="AE64" s="2" t="str">
        <x:f>IF($AD64="","",IF($O64="Yes","SKIP - title issue",IF($X64&gt;Inputs!$B$5,"OVER BUDGET",IF($AD64&gt;=82,"BUY",IF($AD64&gt;=70,"MAYBE","SKIP")))))</x:f>
      </x:c>
      <x:c r="AF64" s="2"/>
    </x:row>
    <x:row r="65">
      <x:c r="A65" s="2" t="str">
        <x:f>IF($AD65="","",COUNTIF($AD$2:$AD$101,"&gt;"&amp;$AD65)+COUNTIFS($AD$2:$AD65,$AD65))</x:f>
      </x:c>
      <x:c r="B65" s="2"/>
      <x:c r="C65" s="2"/>
      <x:c r="D65" s="2"/>
      <x:c r="E65" s="2"/>
      <x:c r="F65" s="2"/>
      <x:c r="G65" s="2"/>
      <x:c r="H65" s="20"/>
      <x:c r="I65" s="22"/>
      <x:c r="J65" s="22"/>
      <x:c r="K65" s="2"/>
      <x:c r="L65" s="2"/>
      <x:c r="M65" s="2"/>
      <x:c r="N65" s="2"/>
      <x:c r="O65" s="2"/>
      <x:c r="P65" s="2"/>
      <x:c r="Q65" s="2"/>
      <x:c r="R65" s="2" t="str">
        <x:f>IFERROR(VLOOKUP($Q65,'Model Scores'!$A$2:$D$100,2,FALSE),70)</x:f>
      </x:c>
      <x:c r="S65" s="2" t="str">
        <x:f>IFERROR(VLOOKUP($Q65,'Model Scores'!$A$2:$D$100,3,FALSE),60)</x:f>
      </x:c>
      <x:c r="T65" s="2" t="str">
        <x:f>IF($C65="","",Inputs!$B$12-$C65)</x:f>
      </x:c>
      <x:c r="U65" s="24" t="str">
        <x:f>IF($H65="","",Inputs!$B$7+IF($C65&lt;=2016,Inputs!$B$8,0)+IF($I65&gt;100000,Inputs!$B$9,0)+IF($I65&gt;120000,Inputs!$B$10,0)+IF($I65&gt;150000,Inputs!$B$11,0))</x:f>
      </x:c>
      <x:c r="V65" s="20" t="str">
        <x:f>IF($H65="","",$H65*(1+Inputs!$B$3)+Inputs!$B$4)</x:f>
      </x:c>
      <x:c r="W65" s="20" t="str">
        <x:f>IF($V65="","",MAX(0,$V65-Inputs!$B$2))</x:f>
      </x:c>
      <x:c r="X65" s="20" t="str">
        <x:f>IF($W65="","",IF($U65=0,$W65/Inputs!$B$6,PMT($U65/12,Inputs!$B$6,-$W65)))</x:f>
      </x:c>
      <x:c r="Y65" s="26" t="str">
        <x:f>IF($X65="","",MAX(0,100-(MAX(0,$X65-Inputs!$B$5)*Inputs!$B$14)))</x:f>
      </x:c>
      <x:c r="Z65" s="26" t="str">
        <x:f>IF($I65="","",IF($I65&lt;=60000,0,IF($I65&lt;=90000,5,IF($I65&lt;=110000,12,IF($I65&lt;=130000,22,IF($I65&lt;=150000,35,50))))))</x:f>
      </x:c>
      <x:c r="AA65" s="26" t="str">
        <x:f>IF($T65="","",IF($T65&lt;=5,0,IF($T65&lt;=8,5,IF($T65&lt;=10,12,IF($T65&lt;=12,20,35)))))</x:f>
      </x:c>
      <x:c r="AB65" s="26" t="str">
        <x:f>IF($J65="","",($K65*18)+IF($L65&gt;=3,10,IF($L65=2,3,0))+IF($M65="Yes",5,0)+IF($N65="Yes",15,0)+IF($O65="Yes",50,0))</x:f>
      </x:c>
      <x:c r="AC65" s="26" t="str">
        <x:f>IF($U65="","",IF($U65&gt;=0.11,20,IF($U65&gt;=0.09,12,IF($U65&gt;=0.075,6,0))))</x:f>
      </x:c>
      <x:c r="AD65" s="26" t="str">
        <x:f>IF($H65="","",ROUND(($R65*0.25)+($S65*0.20)+($Y65*0.25)+((100-$Z65-$AA65-$AB65-$AC65)*0.30),1))</x:f>
      </x:c>
      <x:c r="AE65" s="2" t="str">
        <x:f>IF($AD65="","",IF($O65="Yes","SKIP - title issue",IF($X65&gt;Inputs!$B$5,"OVER BUDGET",IF($AD65&gt;=82,"BUY",IF($AD65&gt;=70,"MAYBE","SKIP")))))</x:f>
      </x:c>
      <x:c r="AF65" s="2"/>
    </x:row>
    <x:row r="66">
      <x:c r="A66" s="2" t="str">
        <x:f>IF($AD66="","",COUNTIF($AD$2:$AD$101,"&gt;"&amp;$AD66)+COUNTIFS($AD$2:$AD66,$AD66))</x:f>
      </x:c>
      <x:c r="B66" s="2"/>
      <x:c r="C66" s="2"/>
      <x:c r="D66" s="2"/>
      <x:c r="E66" s="2"/>
      <x:c r="F66" s="2"/>
      <x:c r="G66" s="2"/>
      <x:c r="H66" s="20"/>
      <x:c r="I66" s="22"/>
      <x:c r="J66" s="22"/>
      <x:c r="K66" s="2"/>
      <x:c r="L66" s="2"/>
      <x:c r="M66" s="2"/>
      <x:c r="N66" s="2"/>
      <x:c r="O66" s="2"/>
      <x:c r="P66" s="2"/>
      <x:c r="Q66" s="2"/>
      <x:c r="R66" s="2" t="str">
        <x:f>IFERROR(VLOOKUP($Q66,'Model Scores'!$A$2:$D$100,2,FALSE),70)</x:f>
      </x:c>
      <x:c r="S66" s="2" t="str">
        <x:f>IFERROR(VLOOKUP($Q66,'Model Scores'!$A$2:$D$100,3,FALSE),60)</x:f>
      </x:c>
      <x:c r="T66" s="2" t="str">
        <x:f>IF($C66="","",Inputs!$B$12-$C66)</x:f>
      </x:c>
      <x:c r="U66" s="24" t="str">
        <x:f>IF($H66="","",Inputs!$B$7+IF($C66&lt;=2016,Inputs!$B$8,0)+IF($I66&gt;100000,Inputs!$B$9,0)+IF($I66&gt;120000,Inputs!$B$10,0)+IF($I66&gt;150000,Inputs!$B$11,0))</x:f>
      </x:c>
      <x:c r="V66" s="20" t="str">
        <x:f>IF($H66="","",$H66*(1+Inputs!$B$3)+Inputs!$B$4)</x:f>
      </x:c>
      <x:c r="W66" s="20" t="str">
        <x:f>IF($V66="","",MAX(0,$V66-Inputs!$B$2))</x:f>
      </x:c>
      <x:c r="X66" s="20" t="str">
        <x:f>IF($W66="","",IF($U66=0,$W66/Inputs!$B$6,PMT($U66/12,Inputs!$B$6,-$W66)))</x:f>
      </x:c>
      <x:c r="Y66" s="26" t="str">
        <x:f>IF($X66="","",MAX(0,100-(MAX(0,$X66-Inputs!$B$5)*Inputs!$B$14)))</x:f>
      </x:c>
      <x:c r="Z66" s="26" t="str">
        <x:f>IF($I66="","",IF($I66&lt;=60000,0,IF($I66&lt;=90000,5,IF($I66&lt;=110000,12,IF($I66&lt;=130000,22,IF($I66&lt;=150000,35,50))))))</x:f>
      </x:c>
      <x:c r="AA66" s="26" t="str">
        <x:f>IF($T66="","",IF($T66&lt;=5,0,IF($T66&lt;=8,5,IF($T66&lt;=10,12,IF($T66&lt;=12,20,35)))))</x:f>
      </x:c>
      <x:c r="AB66" s="26" t="str">
        <x:f>IF($J66="","",($K66*18)+IF($L66&gt;=3,10,IF($L66=2,3,0))+IF($M66="Yes",5,0)+IF($N66="Yes",15,0)+IF($O66="Yes",50,0))</x:f>
      </x:c>
      <x:c r="AC66" s="26" t="str">
        <x:f>IF($U66="","",IF($U66&gt;=0.11,20,IF($U66&gt;=0.09,12,IF($U66&gt;=0.075,6,0))))</x:f>
      </x:c>
      <x:c r="AD66" s="26" t="str">
        <x:f>IF($H66="","",ROUND(($R66*0.25)+($S66*0.20)+($Y66*0.25)+((100-$Z66-$AA66-$AB66-$AC66)*0.30),1))</x:f>
      </x:c>
      <x:c r="AE66" s="2" t="str">
        <x:f>IF($AD66="","",IF($O66="Yes","SKIP - title issue",IF($X66&gt;Inputs!$B$5,"OVER BUDGET",IF($AD66&gt;=82,"BUY",IF($AD66&gt;=70,"MAYBE","SKIP")))))</x:f>
      </x:c>
      <x:c r="AF66" s="2"/>
    </x:row>
    <x:row r="67">
      <x:c r="A67" s="2" t="str">
        <x:f>IF($AD67="","",COUNTIF($AD$2:$AD$101,"&gt;"&amp;$AD67)+COUNTIFS($AD$2:$AD67,$AD67))</x:f>
      </x:c>
      <x:c r="B67" s="2"/>
      <x:c r="C67" s="2"/>
      <x:c r="D67" s="2"/>
      <x:c r="E67" s="2"/>
      <x:c r="F67" s="2"/>
      <x:c r="G67" s="2"/>
      <x:c r="H67" s="20"/>
      <x:c r="I67" s="22"/>
      <x:c r="J67" s="22"/>
      <x:c r="K67" s="2"/>
      <x:c r="L67" s="2"/>
      <x:c r="M67" s="2"/>
      <x:c r="N67" s="2"/>
      <x:c r="O67" s="2"/>
      <x:c r="P67" s="2"/>
      <x:c r="Q67" s="2"/>
      <x:c r="R67" s="2" t="str">
        <x:f>IFERROR(VLOOKUP($Q67,'Model Scores'!$A$2:$D$100,2,FALSE),70)</x:f>
      </x:c>
      <x:c r="S67" s="2" t="str">
        <x:f>IFERROR(VLOOKUP($Q67,'Model Scores'!$A$2:$D$100,3,FALSE),60)</x:f>
      </x:c>
      <x:c r="T67" s="2" t="str">
        <x:f>IF($C67="","",Inputs!$B$12-$C67)</x:f>
      </x:c>
      <x:c r="U67" s="24" t="str">
        <x:f>IF($H67="","",Inputs!$B$7+IF($C67&lt;=2016,Inputs!$B$8,0)+IF($I67&gt;100000,Inputs!$B$9,0)+IF($I67&gt;120000,Inputs!$B$10,0)+IF($I67&gt;150000,Inputs!$B$11,0))</x:f>
      </x:c>
      <x:c r="V67" s="20" t="str">
        <x:f>IF($H67="","",$H67*(1+Inputs!$B$3)+Inputs!$B$4)</x:f>
      </x:c>
      <x:c r="W67" s="20" t="str">
        <x:f>IF($V67="","",MAX(0,$V67-Inputs!$B$2))</x:f>
      </x:c>
      <x:c r="X67" s="20" t="str">
        <x:f>IF($W67="","",IF($U67=0,$W67/Inputs!$B$6,PMT($U67/12,Inputs!$B$6,-$W67)))</x:f>
      </x:c>
      <x:c r="Y67" s="26" t="str">
        <x:f>IF($X67="","",MAX(0,100-(MAX(0,$X67-Inputs!$B$5)*Inputs!$B$14)))</x:f>
      </x:c>
      <x:c r="Z67" s="26" t="str">
        <x:f>IF($I67="","",IF($I67&lt;=60000,0,IF($I67&lt;=90000,5,IF($I67&lt;=110000,12,IF($I67&lt;=130000,22,IF($I67&lt;=150000,35,50))))))</x:f>
      </x:c>
      <x:c r="AA67" s="26" t="str">
        <x:f>IF($T67="","",IF($T67&lt;=5,0,IF($T67&lt;=8,5,IF($T67&lt;=10,12,IF($T67&lt;=12,20,35)))))</x:f>
      </x:c>
      <x:c r="AB67" s="26" t="str">
        <x:f>IF($J67="","",($K67*18)+IF($L67&gt;=3,10,IF($L67=2,3,0))+IF($M67="Yes",5,0)+IF($N67="Yes",15,0)+IF($O67="Yes",50,0))</x:f>
      </x:c>
      <x:c r="AC67" s="26" t="str">
        <x:f>IF($U67="","",IF($U67&gt;=0.11,20,IF($U67&gt;=0.09,12,IF($U67&gt;=0.075,6,0))))</x:f>
      </x:c>
      <x:c r="AD67" s="26" t="str">
        <x:f>IF($H67="","",ROUND(($R67*0.25)+($S67*0.20)+($Y67*0.25)+((100-$Z67-$AA67-$AB67-$AC67)*0.30),1))</x:f>
      </x:c>
      <x:c r="AE67" s="2" t="str">
        <x:f>IF($AD67="","",IF($O67="Yes","SKIP - title issue",IF($X67&gt;Inputs!$B$5,"OVER BUDGET",IF($AD67&gt;=82,"BUY",IF($AD67&gt;=70,"MAYBE","SKIP")))))</x:f>
      </x:c>
      <x:c r="AF67" s="2"/>
    </x:row>
    <x:row r="68">
      <x:c r="A68" s="2" t="str">
        <x:f>IF($AD68="","",COUNTIF($AD$2:$AD$101,"&gt;"&amp;$AD68)+COUNTIFS($AD$2:$AD68,$AD68))</x:f>
      </x:c>
      <x:c r="B68" s="2"/>
      <x:c r="C68" s="2"/>
      <x:c r="D68" s="2"/>
      <x:c r="E68" s="2"/>
      <x:c r="F68" s="2"/>
      <x:c r="G68" s="2"/>
      <x:c r="H68" s="20"/>
      <x:c r="I68" s="22"/>
      <x:c r="J68" s="22"/>
      <x:c r="K68" s="2"/>
      <x:c r="L68" s="2"/>
      <x:c r="M68" s="2"/>
      <x:c r="N68" s="2"/>
      <x:c r="O68" s="2"/>
      <x:c r="P68" s="2"/>
      <x:c r="Q68" s="2"/>
      <x:c r="R68" s="2" t="str">
        <x:f>IFERROR(VLOOKUP($Q68,'Model Scores'!$A$2:$D$100,2,FALSE),70)</x:f>
      </x:c>
      <x:c r="S68" s="2" t="str">
        <x:f>IFERROR(VLOOKUP($Q68,'Model Scores'!$A$2:$D$100,3,FALSE),60)</x:f>
      </x:c>
      <x:c r="T68" s="2" t="str">
        <x:f>IF($C68="","",Inputs!$B$12-$C68)</x:f>
      </x:c>
      <x:c r="U68" s="24" t="str">
        <x:f>IF($H68="","",Inputs!$B$7+IF($C68&lt;=2016,Inputs!$B$8,0)+IF($I68&gt;100000,Inputs!$B$9,0)+IF($I68&gt;120000,Inputs!$B$10,0)+IF($I68&gt;150000,Inputs!$B$11,0))</x:f>
      </x:c>
      <x:c r="V68" s="20" t="str">
        <x:f>IF($H68="","",$H68*(1+Inputs!$B$3)+Inputs!$B$4)</x:f>
      </x:c>
      <x:c r="W68" s="20" t="str">
        <x:f>IF($V68="","",MAX(0,$V68-Inputs!$B$2))</x:f>
      </x:c>
      <x:c r="X68" s="20" t="str">
        <x:f>IF($W68="","",IF($U68=0,$W68/Inputs!$B$6,PMT($U68/12,Inputs!$B$6,-$W68)))</x:f>
      </x:c>
      <x:c r="Y68" s="26" t="str">
        <x:f>IF($X68="","",MAX(0,100-(MAX(0,$X68-Inputs!$B$5)*Inputs!$B$14)))</x:f>
      </x:c>
      <x:c r="Z68" s="26" t="str">
        <x:f>IF($I68="","",IF($I68&lt;=60000,0,IF($I68&lt;=90000,5,IF($I68&lt;=110000,12,IF($I68&lt;=130000,22,IF($I68&lt;=150000,35,50))))))</x:f>
      </x:c>
      <x:c r="AA68" s="26" t="str">
        <x:f>IF($T68="","",IF($T68&lt;=5,0,IF($T68&lt;=8,5,IF($T68&lt;=10,12,IF($T68&lt;=12,20,35)))))</x:f>
      </x:c>
      <x:c r="AB68" s="26" t="str">
        <x:f>IF($J68="","",($K68*18)+IF($L68&gt;=3,10,IF($L68=2,3,0))+IF($M68="Yes",5,0)+IF($N68="Yes",15,0)+IF($O68="Yes",50,0))</x:f>
      </x:c>
      <x:c r="AC68" s="26" t="str">
        <x:f>IF($U68="","",IF($U68&gt;=0.11,20,IF($U68&gt;=0.09,12,IF($U68&gt;=0.075,6,0))))</x:f>
      </x:c>
      <x:c r="AD68" s="26" t="str">
        <x:f>IF($H68="","",ROUND(($R68*0.25)+($S68*0.20)+($Y68*0.25)+((100-$Z68-$AA68-$AB68-$AC68)*0.30),1))</x:f>
      </x:c>
      <x:c r="AE68" s="2" t="str">
        <x:f>IF($AD68="","",IF($O68="Yes","SKIP - title issue",IF($X68&gt;Inputs!$B$5,"OVER BUDGET",IF($AD68&gt;=82,"BUY",IF($AD68&gt;=70,"MAYBE","SKIP")))))</x:f>
      </x:c>
      <x:c r="AF68" s="2"/>
    </x:row>
    <x:row r="69">
      <x:c r="A69" s="2" t="str">
        <x:f>IF($AD69="","",COUNTIF($AD$2:$AD$101,"&gt;"&amp;$AD69)+COUNTIFS($AD$2:$AD69,$AD69))</x:f>
      </x:c>
      <x:c r="B69" s="2"/>
      <x:c r="C69" s="2"/>
      <x:c r="D69" s="2"/>
      <x:c r="E69" s="2"/>
      <x:c r="F69" s="2"/>
      <x:c r="G69" s="2"/>
      <x:c r="H69" s="20"/>
      <x:c r="I69" s="22"/>
      <x:c r="J69" s="22"/>
      <x:c r="K69" s="2"/>
      <x:c r="L69" s="2"/>
      <x:c r="M69" s="2"/>
      <x:c r="N69" s="2"/>
      <x:c r="O69" s="2"/>
      <x:c r="P69" s="2"/>
      <x:c r="Q69" s="2"/>
      <x:c r="R69" s="2" t="str">
        <x:f>IFERROR(VLOOKUP($Q69,'Model Scores'!$A$2:$D$100,2,FALSE),70)</x:f>
      </x:c>
      <x:c r="S69" s="2" t="str">
        <x:f>IFERROR(VLOOKUP($Q69,'Model Scores'!$A$2:$D$100,3,FALSE),60)</x:f>
      </x:c>
      <x:c r="T69" s="2" t="str">
        <x:f>IF($C69="","",Inputs!$B$12-$C69)</x:f>
      </x:c>
      <x:c r="U69" s="24" t="str">
        <x:f>IF($H69="","",Inputs!$B$7+IF($C69&lt;=2016,Inputs!$B$8,0)+IF($I69&gt;100000,Inputs!$B$9,0)+IF($I69&gt;120000,Inputs!$B$10,0)+IF($I69&gt;150000,Inputs!$B$11,0))</x:f>
      </x:c>
      <x:c r="V69" s="20" t="str">
        <x:f>IF($H69="","",$H69*(1+Inputs!$B$3)+Inputs!$B$4)</x:f>
      </x:c>
      <x:c r="W69" s="20" t="str">
        <x:f>IF($V69="","",MAX(0,$V69-Inputs!$B$2))</x:f>
      </x:c>
      <x:c r="X69" s="20" t="str">
        <x:f>IF($W69="","",IF($U69=0,$W69/Inputs!$B$6,PMT($U69/12,Inputs!$B$6,-$W69)))</x:f>
      </x:c>
      <x:c r="Y69" s="26" t="str">
        <x:f>IF($X69="","",MAX(0,100-(MAX(0,$X69-Inputs!$B$5)*Inputs!$B$14)))</x:f>
      </x:c>
      <x:c r="Z69" s="26" t="str">
        <x:f>IF($I69="","",IF($I69&lt;=60000,0,IF($I69&lt;=90000,5,IF($I69&lt;=110000,12,IF($I69&lt;=130000,22,IF($I69&lt;=150000,35,50))))))</x:f>
      </x:c>
      <x:c r="AA69" s="26" t="str">
        <x:f>IF($T69="","",IF($T69&lt;=5,0,IF($T69&lt;=8,5,IF($T69&lt;=10,12,IF($T69&lt;=12,20,35)))))</x:f>
      </x:c>
      <x:c r="AB69" s="26" t="str">
        <x:f>IF($J69="","",($K69*18)+IF($L69&gt;=3,10,IF($L69=2,3,0))+IF($M69="Yes",5,0)+IF($N69="Yes",15,0)+IF($O69="Yes",50,0))</x:f>
      </x:c>
      <x:c r="AC69" s="26" t="str">
        <x:f>IF($U69="","",IF($U69&gt;=0.11,20,IF($U69&gt;=0.09,12,IF($U69&gt;=0.075,6,0))))</x:f>
      </x:c>
      <x:c r="AD69" s="26" t="str">
        <x:f>IF($H69="","",ROUND(($R69*0.25)+($S69*0.20)+($Y69*0.25)+((100-$Z69-$AA69-$AB69-$AC69)*0.30),1))</x:f>
      </x:c>
      <x:c r="AE69" s="2" t="str">
        <x:f>IF($AD69="","",IF($O69="Yes","SKIP - title issue",IF($X69&gt;Inputs!$B$5,"OVER BUDGET",IF($AD69&gt;=82,"BUY",IF($AD69&gt;=70,"MAYBE","SKIP")))))</x:f>
      </x:c>
      <x:c r="AF69" s="2"/>
    </x:row>
    <x:row r="70">
      <x:c r="A70" s="2" t="str">
        <x:f>IF($AD70="","",COUNTIF($AD$2:$AD$101,"&gt;"&amp;$AD70)+COUNTIFS($AD$2:$AD70,$AD70))</x:f>
      </x:c>
      <x:c r="B70" s="2"/>
      <x:c r="C70" s="2"/>
      <x:c r="D70" s="2"/>
      <x:c r="E70" s="2"/>
      <x:c r="F70" s="2"/>
      <x:c r="G70" s="2"/>
      <x:c r="H70" s="20"/>
      <x:c r="I70" s="22"/>
      <x:c r="J70" s="22"/>
      <x:c r="K70" s="2"/>
      <x:c r="L70" s="2"/>
      <x:c r="M70" s="2"/>
      <x:c r="N70" s="2"/>
      <x:c r="O70" s="2"/>
      <x:c r="P70" s="2"/>
      <x:c r="Q70" s="2"/>
      <x:c r="R70" s="2" t="str">
        <x:f>IFERROR(VLOOKUP($Q70,'Model Scores'!$A$2:$D$100,2,FALSE),70)</x:f>
      </x:c>
      <x:c r="S70" s="2" t="str">
        <x:f>IFERROR(VLOOKUP($Q70,'Model Scores'!$A$2:$D$100,3,FALSE),60)</x:f>
      </x:c>
      <x:c r="T70" s="2" t="str">
        <x:f>IF($C70="","",Inputs!$B$12-$C70)</x:f>
      </x:c>
      <x:c r="U70" s="24" t="str">
        <x:f>IF($H70="","",Inputs!$B$7+IF($C70&lt;=2016,Inputs!$B$8,0)+IF($I70&gt;100000,Inputs!$B$9,0)+IF($I70&gt;120000,Inputs!$B$10,0)+IF($I70&gt;150000,Inputs!$B$11,0))</x:f>
      </x:c>
      <x:c r="V70" s="20" t="str">
        <x:f>IF($H70="","",$H70*(1+Inputs!$B$3)+Inputs!$B$4)</x:f>
      </x:c>
      <x:c r="W70" s="20" t="str">
        <x:f>IF($V70="","",MAX(0,$V70-Inputs!$B$2))</x:f>
      </x:c>
      <x:c r="X70" s="20" t="str">
        <x:f>IF($W70="","",IF($U70=0,$W70/Inputs!$B$6,PMT($U70/12,Inputs!$B$6,-$W70)))</x:f>
      </x:c>
      <x:c r="Y70" s="26" t="str">
        <x:f>IF($X70="","",MAX(0,100-(MAX(0,$X70-Inputs!$B$5)*Inputs!$B$14)))</x:f>
      </x:c>
      <x:c r="Z70" s="26" t="str">
        <x:f>IF($I70="","",IF($I70&lt;=60000,0,IF($I70&lt;=90000,5,IF($I70&lt;=110000,12,IF($I70&lt;=130000,22,IF($I70&lt;=150000,35,50))))))</x:f>
      </x:c>
      <x:c r="AA70" s="26" t="str">
        <x:f>IF($T70="","",IF($T70&lt;=5,0,IF($T70&lt;=8,5,IF($T70&lt;=10,12,IF($T70&lt;=12,20,35)))))</x:f>
      </x:c>
      <x:c r="AB70" s="26" t="str">
        <x:f>IF($J70="","",($K70*18)+IF($L70&gt;=3,10,IF($L70=2,3,0))+IF($M70="Yes",5,0)+IF($N70="Yes",15,0)+IF($O70="Yes",50,0))</x:f>
      </x:c>
      <x:c r="AC70" s="26" t="str">
        <x:f>IF($U70="","",IF($U70&gt;=0.11,20,IF($U70&gt;=0.09,12,IF($U70&gt;=0.075,6,0))))</x:f>
      </x:c>
      <x:c r="AD70" s="26" t="str">
        <x:f>IF($H70="","",ROUND(($R70*0.25)+($S70*0.20)+($Y70*0.25)+((100-$Z70-$AA70-$AB70-$AC70)*0.30),1))</x:f>
      </x:c>
      <x:c r="AE70" s="2" t="str">
        <x:f>IF($AD70="","",IF($O70="Yes","SKIP - title issue",IF($X70&gt;Inputs!$B$5,"OVER BUDGET",IF($AD70&gt;=82,"BUY",IF($AD70&gt;=70,"MAYBE","SKIP")))))</x:f>
      </x:c>
      <x:c r="AF70" s="2"/>
    </x:row>
    <x:row r="71">
      <x:c r="A71" s="2" t="str">
        <x:f>IF($AD71="","",COUNTIF($AD$2:$AD$101,"&gt;"&amp;$AD71)+COUNTIFS($AD$2:$AD71,$AD71))</x:f>
      </x:c>
      <x:c r="B71" s="2"/>
      <x:c r="C71" s="2"/>
      <x:c r="D71" s="2"/>
      <x:c r="E71" s="2"/>
      <x:c r="F71" s="2"/>
      <x:c r="G71" s="2"/>
      <x:c r="H71" s="20"/>
      <x:c r="I71" s="22"/>
      <x:c r="J71" s="22"/>
      <x:c r="K71" s="2"/>
      <x:c r="L71" s="2"/>
      <x:c r="M71" s="2"/>
      <x:c r="N71" s="2"/>
      <x:c r="O71" s="2"/>
      <x:c r="P71" s="2"/>
      <x:c r="Q71" s="2"/>
      <x:c r="R71" s="2" t="str">
        <x:f>IFERROR(VLOOKUP($Q71,'Model Scores'!$A$2:$D$100,2,FALSE),70)</x:f>
      </x:c>
      <x:c r="S71" s="2" t="str">
        <x:f>IFERROR(VLOOKUP($Q71,'Model Scores'!$A$2:$D$100,3,FALSE),60)</x:f>
      </x:c>
      <x:c r="T71" s="2" t="str">
        <x:f>IF($C71="","",Inputs!$B$12-$C71)</x:f>
      </x:c>
      <x:c r="U71" s="24" t="str">
        <x:f>IF($H71="","",Inputs!$B$7+IF($C71&lt;=2016,Inputs!$B$8,0)+IF($I71&gt;100000,Inputs!$B$9,0)+IF($I71&gt;120000,Inputs!$B$10,0)+IF($I71&gt;150000,Inputs!$B$11,0))</x:f>
      </x:c>
      <x:c r="V71" s="20" t="str">
        <x:f>IF($H71="","",$H71*(1+Inputs!$B$3)+Inputs!$B$4)</x:f>
      </x:c>
      <x:c r="W71" s="20" t="str">
        <x:f>IF($V71="","",MAX(0,$V71-Inputs!$B$2))</x:f>
      </x:c>
      <x:c r="X71" s="20" t="str">
        <x:f>IF($W71="","",IF($U71=0,$W71/Inputs!$B$6,PMT($U71/12,Inputs!$B$6,-$W71)))</x:f>
      </x:c>
      <x:c r="Y71" s="26" t="str">
        <x:f>IF($X71="","",MAX(0,100-(MAX(0,$X71-Inputs!$B$5)*Inputs!$B$14)))</x:f>
      </x:c>
      <x:c r="Z71" s="26" t="str">
        <x:f>IF($I71="","",IF($I71&lt;=60000,0,IF($I71&lt;=90000,5,IF($I71&lt;=110000,12,IF($I71&lt;=130000,22,IF($I71&lt;=150000,35,50))))))</x:f>
      </x:c>
      <x:c r="AA71" s="26" t="str">
        <x:f>IF($T71="","",IF($T71&lt;=5,0,IF($T71&lt;=8,5,IF($T71&lt;=10,12,IF($T71&lt;=12,20,35)))))</x:f>
      </x:c>
      <x:c r="AB71" s="26" t="str">
        <x:f>IF($J71="","",($K71*18)+IF($L71&gt;=3,10,IF($L71=2,3,0))+IF($M71="Yes",5,0)+IF($N71="Yes",15,0)+IF($O71="Yes",50,0))</x:f>
      </x:c>
      <x:c r="AC71" s="26" t="str">
        <x:f>IF($U71="","",IF($U71&gt;=0.11,20,IF($U71&gt;=0.09,12,IF($U71&gt;=0.075,6,0))))</x:f>
      </x:c>
      <x:c r="AD71" s="26" t="str">
        <x:f>IF($H71="","",ROUND(($R71*0.25)+($S71*0.20)+($Y71*0.25)+((100-$Z71-$AA71-$AB71-$AC71)*0.30),1))</x:f>
      </x:c>
      <x:c r="AE71" s="2" t="str">
        <x:f>IF($AD71="","",IF($O71="Yes","SKIP - title issue",IF($X71&gt;Inputs!$B$5,"OVER BUDGET",IF($AD71&gt;=82,"BUY",IF($AD71&gt;=70,"MAYBE","SKIP")))))</x:f>
      </x:c>
      <x:c r="AF71" s="2"/>
    </x:row>
    <x:row r="72">
      <x:c r="A72" s="2" t="str">
        <x:f>IF($AD72="","",COUNTIF($AD$2:$AD$101,"&gt;"&amp;$AD72)+COUNTIFS($AD$2:$AD72,$AD72))</x:f>
      </x:c>
      <x:c r="B72" s="2"/>
      <x:c r="C72" s="2"/>
      <x:c r="D72" s="2"/>
      <x:c r="E72" s="2"/>
      <x:c r="F72" s="2"/>
      <x:c r="G72" s="2"/>
      <x:c r="H72" s="20"/>
      <x:c r="I72" s="22"/>
      <x:c r="J72" s="22"/>
      <x:c r="K72" s="2"/>
      <x:c r="L72" s="2"/>
      <x:c r="M72" s="2"/>
      <x:c r="N72" s="2"/>
      <x:c r="O72" s="2"/>
      <x:c r="P72" s="2"/>
      <x:c r="Q72" s="2"/>
      <x:c r="R72" s="2" t="str">
        <x:f>IFERROR(VLOOKUP($Q72,'Model Scores'!$A$2:$D$100,2,FALSE),70)</x:f>
      </x:c>
      <x:c r="S72" s="2" t="str">
        <x:f>IFERROR(VLOOKUP($Q72,'Model Scores'!$A$2:$D$100,3,FALSE),60)</x:f>
      </x:c>
      <x:c r="T72" s="2" t="str">
        <x:f>IF($C72="","",Inputs!$B$12-$C72)</x:f>
      </x:c>
      <x:c r="U72" s="24" t="str">
        <x:f>IF($H72="","",Inputs!$B$7+IF($C72&lt;=2016,Inputs!$B$8,0)+IF($I72&gt;100000,Inputs!$B$9,0)+IF($I72&gt;120000,Inputs!$B$10,0)+IF($I72&gt;150000,Inputs!$B$11,0))</x:f>
      </x:c>
      <x:c r="V72" s="20" t="str">
        <x:f>IF($H72="","",$H72*(1+Inputs!$B$3)+Inputs!$B$4)</x:f>
      </x:c>
      <x:c r="W72" s="20" t="str">
        <x:f>IF($V72="","",MAX(0,$V72-Inputs!$B$2))</x:f>
      </x:c>
      <x:c r="X72" s="20" t="str">
        <x:f>IF($W72="","",IF($U72=0,$W72/Inputs!$B$6,PMT($U72/12,Inputs!$B$6,-$W72)))</x:f>
      </x:c>
      <x:c r="Y72" s="26" t="str">
        <x:f>IF($X72="","",MAX(0,100-(MAX(0,$X72-Inputs!$B$5)*Inputs!$B$14)))</x:f>
      </x:c>
      <x:c r="Z72" s="26" t="str">
        <x:f>IF($I72="","",IF($I72&lt;=60000,0,IF($I72&lt;=90000,5,IF($I72&lt;=110000,12,IF($I72&lt;=130000,22,IF($I72&lt;=150000,35,50))))))</x:f>
      </x:c>
      <x:c r="AA72" s="26" t="str">
        <x:f>IF($T72="","",IF($T72&lt;=5,0,IF($T72&lt;=8,5,IF($T72&lt;=10,12,IF($T72&lt;=12,20,35)))))</x:f>
      </x:c>
      <x:c r="AB72" s="26" t="str">
        <x:f>IF($J72="","",($K72*18)+IF($L72&gt;=3,10,IF($L72=2,3,0))+IF($M72="Yes",5,0)+IF($N72="Yes",15,0)+IF($O72="Yes",50,0))</x:f>
      </x:c>
      <x:c r="AC72" s="26" t="str">
        <x:f>IF($U72="","",IF($U72&gt;=0.11,20,IF($U72&gt;=0.09,12,IF($U72&gt;=0.075,6,0))))</x:f>
      </x:c>
      <x:c r="AD72" s="26" t="str">
        <x:f>IF($H72="","",ROUND(($R72*0.25)+($S72*0.20)+($Y72*0.25)+((100-$Z72-$AA72-$AB72-$AC72)*0.30),1))</x:f>
      </x:c>
      <x:c r="AE72" s="2" t="str">
        <x:f>IF($AD72="","",IF($O72="Yes","SKIP - title issue",IF($X72&gt;Inputs!$B$5,"OVER BUDGET",IF($AD72&gt;=82,"BUY",IF($AD72&gt;=70,"MAYBE","SKIP")))))</x:f>
      </x:c>
      <x:c r="AF72" s="2"/>
    </x:row>
    <x:row r="73">
      <x:c r="A73" s="2" t="str">
        <x:f>IF($AD73="","",COUNTIF($AD$2:$AD$101,"&gt;"&amp;$AD73)+COUNTIFS($AD$2:$AD73,$AD73))</x:f>
      </x:c>
      <x:c r="B73" s="2"/>
      <x:c r="C73" s="2"/>
      <x:c r="D73" s="2"/>
      <x:c r="E73" s="2"/>
      <x:c r="F73" s="2"/>
      <x:c r="G73" s="2"/>
      <x:c r="H73" s="20"/>
      <x:c r="I73" s="22"/>
      <x:c r="J73" s="22"/>
      <x:c r="K73" s="2"/>
      <x:c r="L73" s="2"/>
      <x:c r="M73" s="2"/>
      <x:c r="N73" s="2"/>
      <x:c r="O73" s="2"/>
      <x:c r="P73" s="2"/>
      <x:c r="Q73" s="2"/>
      <x:c r="R73" s="2" t="str">
        <x:f>IFERROR(VLOOKUP($Q73,'Model Scores'!$A$2:$D$100,2,FALSE),70)</x:f>
      </x:c>
      <x:c r="S73" s="2" t="str">
        <x:f>IFERROR(VLOOKUP($Q73,'Model Scores'!$A$2:$D$100,3,FALSE),60)</x:f>
      </x:c>
      <x:c r="T73" s="2" t="str">
        <x:f>IF($C73="","",Inputs!$B$12-$C73)</x:f>
      </x:c>
      <x:c r="U73" s="24" t="str">
        <x:f>IF($H73="","",Inputs!$B$7+IF($C73&lt;=2016,Inputs!$B$8,0)+IF($I73&gt;100000,Inputs!$B$9,0)+IF($I73&gt;120000,Inputs!$B$10,0)+IF($I73&gt;150000,Inputs!$B$11,0))</x:f>
      </x:c>
      <x:c r="V73" s="20" t="str">
        <x:f>IF($H73="","",$H73*(1+Inputs!$B$3)+Inputs!$B$4)</x:f>
      </x:c>
      <x:c r="W73" s="20" t="str">
        <x:f>IF($V73="","",MAX(0,$V73-Inputs!$B$2))</x:f>
      </x:c>
      <x:c r="X73" s="20" t="str">
        <x:f>IF($W73="","",IF($U73=0,$W73/Inputs!$B$6,PMT($U73/12,Inputs!$B$6,-$W73)))</x:f>
      </x:c>
      <x:c r="Y73" s="26" t="str">
        <x:f>IF($X73="","",MAX(0,100-(MAX(0,$X73-Inputs!$B$5)*Inputs!$B$14)))</x:f>
      </x:c>
      <x:c r="Z73" s="26" t="str">
        <x:f>IF($I73="","",IF($I73&lt;=60000,0,IF($I73&lt;=90000,5,IF($I73&lt;=110000,12,IF($I73&lt;=130000,22,IF($I73&lt;=150000,35,50))))))</x:f>
      </x:c>
      <x:c r="AA73" s="26" t="str">
        <x:f>IF($T73="","",IF($T73&lt;=5,0,IF($T73&lt;=8,5,IF($T73&lt;=10,12,IF($T73&lt;=12,20,35)))))</x:f>
      </x:c>
      <x:c r="AB73" s="26" t="str">
        <x:f>IF($J73="","",($K73*18)+IF($L73&gt;=3,10,IF($L73=2,3,0))+IF($M73="Yes",5,0)+IF($N73="Yes",15,0)+IF($O73="Yes",50,0))</x:f>
      </x:c>
      <x:c r="AC73" s="26" t="str">
        <x:f>IF($U73="","",IF($U73&gt;=0.11,20,IF($U73&gt;=0.09,12,IF($U73&gt;=0.075,6,0))))</x:f>
      </x:c>
      <x:c r="AD73" s="26" t="str">
        <x:f>IF($H73="","",ROUND(($R73*0.25)+($S73*0.20)+($Y73*0.25)+((100-$Z73-$AA73-$AB73-$AC73)*0.30),1))</x:f>
      </x:c>
      <x:c r="AE73" s="2" t="str">
        <x:f>IF($AD73="","",IF($O73="Yes","SKIP - title issue",IF($X73&gt;Inputs!$B$5,"OVER BUDGET",IF($AD73&gt;=82,"BUY",IF($AD73&gt;=70,"MAYBE","SKIP")))))</x:f>
      </x:c>
      <x:c r="AF73" s="2"/>
    </x:row>
    <x:row r="74">
      <x:c r="A74" s="2" t="str">
        <x:f>IF($AD74="","",COUNTIF($AD$2:$AD$101,"&gt;"&amp;$AD74)+COUNTIFS($AD$2:$AD74,$AD74))</x:f>
      </x:c>
      <x:c r="B74" s="2"/>
      <x:c r="C74" s="2"/>
      <x:c r="D74" s="2"/>
      <x:c r="E74" s="2"/>
      <x:c r="F74" s="2"/>
      <x:c r="G74" s="2"/>
      <x:c r="H74" s="20"/>
      <x:c r="I74" s="22"/>
      <x:c r="J74" s="22"/>
      <x:c r="K74" s="2"/>
      <x:c r="L74" s="2"/>
      <x:c r="M74" s="2"/>
      <x:c r="N74" s="2"/>
      <x:c r="O74" s="2"/>
      <x:c r="P74" s="2"/>
      <x:c r="Q74" s="2"/>
      <x:c r="R74" s="2" t="str">
        <x:f>IFERROR(VLOOKUP($Q74,'Model Scores'!$A$2:$D$100,2,FALSE),70)</x:f>
      </x:c>
      <x:c r="S74" s="2" t="str">
        <x:f>IFERROR(VLOOKUP($Q74,'Model Scores'!$A$2:$D$100,3,FALSE),60)</x:f>
      </x:c>
      <x:c r="T74" s="2" t="str">
        <x:f>IF($C74="","",Inputs!$B$12-$C74)</x:f>
      </x:c>
      <x:c r="U74" s="24" t="str">
        <x:f>IF($H74="","",Inputs!$B$7+IF($C74&lt;=2016,Inputs!$B$8,0)+IF($I74&gt;100000,Inputs!$B$9,0)+IF($I74&gt;120000,Inputs!$B$10,0)+IF($I74&gt;150000,Inputs!$B$11,0))</x:f>
      </x:c>
      <x:c r="V74" s="20" t="str">
        <x:f>IF($H74="","",$H74*(1+Inputs!$B$3)+Inputs!$B$4)</x:f>
      </x:c>
      <x:c r="W74" s="20" t="str">
        <x:f>IF($V74="","",MAX(0,$V74-Inputs!$B$2))</x:f>
      </x:c>
      <x:c r="X74" s="20" t="str">
        <x:f>IF($W74="","",IF($U74=0,$W74/Inputs!$B$6,PMT($U74/12,Inputs!$B$6,-$W74)))</x:f>
      </x:c>
      <x:c r="Y74" s="26" t="str">
        <x:f>IF($X74="","",MAX(0,100-(MAX(0,$X74-Inputs!$B$5)*Inputs!$B$14)))</x:f>
      </x:c>
      <x:c r="Z74" s="26" t="str">
        <x:f>IF($I74="","",IF($I74&lt;=60000,0,IF($I74&lt;=90000,5,IF($I74&lt;=110000,12,IF($I74&lt;=130000,22,IF($I74&lt;=150000,35,50))))))</x:f>
      </x:c>
      <x:c r="AA74" s="26" t="str">
        <x:f>IF($T74="","",IF($T74&lt;=5,0,IF($T74&lt;=8,5,IF($T74&lt;=10,12,IF($T74&lt;=12,20,35)))))</x:f>
      </x:c>
      <x:c r="AB74" s="26" t="str">
        <x:f>IF($J74="","",($K74*18)+IF($L74&gt;=3,10,IF($L74=2,3,0))+IF($M74="Yes",5,0)+IF($N74="Yes",15,0)+IF($O74="Yes",50,0))</x:f>
      </x:c>
      <x:c r="AC74" s="26" t="str">
        <x:f>IF($U74="","",IF($U74&gt;=0.11,20,IF($U74&gt;=0.09,12,IF($U74&gt;=0.075,6,0))))</x:f>
      </x:c>
      <x:c r="AD74" s="26" t="str">
        <x:f>IF($H74="","",ROUND(($R74*0.25)+($S74*0.20)+($Y74*0.25)+((100-$Z74-$AA74-$AB74-$AC74)*0.30),1))</x:f>
      </x:c>
      <x:c r="AE74" s="2" t="str">
        <x:f>IF($AD74="","",IF($O74="Yes","SKIP - title issue",IF($X74&gt;Inputs!$B$5,"OVER BUDGET",IF($AD74&gt;=82,"BUY",IF($AD74&gt;=70,"MAYBE","SKIP")))))</x:f>
      </x:c>
      <x:c r="AF74" s="2"/>
    </x:row>
    <x:row r="75">
      <x:c r="A75" s="2" t="str">
        <x:f>IF($AD75="","",COUNTIF($AD$2:$AD$101,"&gt;"&amp;$AD75)+COUNTIFS($AD$2:$AD75,$AD75))</x:f>
      </x:c>
      <x:c r="B75" s="2"/>
      <x:c r="C75" s="2"/>
      <x:c r="D75" s="2"/>
      <x:c r="E75" s="2"/>
      <x:c r="F75" s="2"/>
      <x:c r="G75" s="2"/>
      <x:c r="H75" s="20"/>
      <x:c r="I75" s="22"/>
      <x:c r="J75" s="22"/>
      <x:c r="K75" s="2"/>
      <x:c r="L75" s="2"/>
      <x:c r="M75" s="2"/>
      <x:c r="N75" s="2"/>
      <x:c r="O75" s="2"/>
      <x:c r="P75" s="2"/>
      <x:c r="Q75" s="2"/>
      <x:c r="R75" s="2" t="str">
        <x:f>IFERROR(VLOOKUP($Q75,'Model Scores'!$A$2:$D$100,2,FALSE),70)</x:f>
      </x:c>
      <x:c r="S75" s="2" t="str">
        <x:f>IFERROR(VLOOKUP($Q75,'Model Scores'!$A$2:$D$100,3,FALSE),60)</x:f>
      </x:c>
      <x:c r="T75" s="2" t="str">
        <x:f>IF($C75="","",Inputs!$B$12-$C75)</x:f>
      </x:c>
      <x:c r="U75" s="24" t="str">
        <x:f>IF($H75="","",Inputs!$B$7+IF($C75&lt;=2016,Inputs!$B$8,0)+IF($I75&gt;100000,Inputs!$B$9,0)+IF($I75&gt;120000,Inputs!$B$10,0)+IF($I75&gt;150000,Inputs!$B$11,0))</x:f>
      </x:c>
      <x:c r="V75" s="20" t="str">
        <x:f>IF($H75="","",$H75*(1+Inputs!$B$3)+Inputs!$B$4)</x:f>
      </x:c>
      <x:c r="W75" s="20" t="str">
        <x:f>IF($V75="","",MAX(0,$V75-Inputs!$B$2))</x:f>
      </x:c>
      <x:c r="X75" s="20" t="str">
        <x:f>IF($W75="","",IF($U75=0,$W75/Inputs!$B$6,PMT($U75/12,Inputs!$B$6,-$W75)))</x:f>
      </x:c>
      <x:c r="Y75" s="26" t="str">
        <x:f>IF($X75="","",MAX(0,100-(MAX(0,$X75-Inputs!$B$5)*Inputs!$B$14)))</x:f>
      </x:c>
      <x:c r="Z75" s="26" t="str">
        <x:f>IF($I75="","",IF($I75&lt;=60000,0,IF($I75&lt;=90000,5,IF($I75&lt;=110000,12,IF($I75&lt;=130000,22,IF($I75&lt;=150000,35,50))))))</x:f>
      </x:c>
      <x:c r="AA75" s="26" t="str">
        <x:f>IF($T75="","",IF($T75&lt;=5,0,IF($T75&lt;=8,5,IF($T75&lt;=10,12,IF($T75&lt;=12,20,35)))))</x:f>
      </x:c>
      <x:c r="AB75" s="26" t="str">
        <x:f>IF($J75="","",($K75*18)+IF($L75&gt;=3,10,IF($L75=2,3,0))+IF($M75="Yes",5,0)+IF($N75="Yes",15,0)+IF($O75="Yes",50,0))</x:f>
      </x:c>
      <x:c r="AC75" s="26" t="str">
        <x:f>IF($U75="","",IF($U75&gt;=0.11,20,IF($U75&gt;=0.09,12,IF($U75&gt;=0.075,6,0))))</x:f>
      </x:c>
      <x:c r="AD75" s="26" t="str">
        <x:f>IF($H75="","",ROUND(($R75*0.25)+($S75*0.20)+($Y75*0.25)+((100-$Z75-$AA75-$AB75-$AC75)*0.30),1))</x:f>
      </x:c>
      <x:c r="AE75" s="2" t="str">
        <x:f>IF($AD75="","",IF($O75="Yes","SKIP - title issue",IF($X75&gt;Inputs!$B$5,"OVER BUDGET",IF($AD75&gt;=82,"BUY",IF($AD75&gt;=70,"MAYBE","SKIP")))))</x:f>
      </x:c>
      <x:c r="AF75" s="2"/>
    </x:row>
    <x:row r="76">
      <x:c r="A76" s="2" t="str">
        <x:f>IF($AD76="","",COUNTIF($AD$2:$AD$101,"&gt;"&amp;$AD76)+COUNTIFS($AD$2:$AD76,$AD76))</x:f>
      </x:c>
      <x:c r="B76" s="2"/>
      <x:c r="C76" s="2"/>
      <x:c r="D76" s="2"/>
      <x:c r="E76" s="2"/>
      <x:c r="F76" s="2"/>
      <x:c r="G76" s="2"/>
      <x:c r="H76" s="20"/>
      <x:c r="I76" s="22"/>
      <x:c r="J76" s="22"/>
      <x:c r="K76" s="2"/>
      <x:c r="L76" s="2"/>
      <x:c r="M76" s="2"/>
      <x:c r="N76" s="2"/>
      <x:c r="O76" s="2"/>
      <x:c r="P76" s="2"/>
      <x:c r="Q76" s="2"/>
      <x:c r="R76" s="2" t="str">
        <x:f>IFERROR(VLOOKUP($Q76,'Model Scores'!$A$2:$D$100,2,FALSE),70)</x:f>
      </x:c>
      <x:c r="S76" s="2" t="str">
        <x:f>IFERROR(VLOOKUP($Q76,'Model Scores'!$A$2:$D$100,3,FALSE),60)</x:f>
      </x:c>
      <x:c r="T76" s="2" t="str">
        <x:f>IF($C76="","",Inputs!$B$12-$C76)</x:f>
      </x:c>
      <x:c r="U76" s="24" t="str">
        <x:f>IF($H76="","",Inputs!$B$7+IF($C76&lt;=2016,Inputs!$B$8,0)+IF($I76&gt;100000,Inputs!$B$9,0)+IF($I76&gt;120000,Inputs!$B$10,0)+IF($I76&gt;150000,Inputs!$B$11,0))</x:f>
      </x:c>
      <x:c r="V76" s="20" t="str">
        <x:f>IF($H76="","",$H76*(1+Inputs!$B$3)+Inputs!$B$4)</x:f>
      </x:c>
      <x:c r="W76" s="20" t="str">
        <x:f>IF($V76="","",MAX(0,$V76-Inputs!$B$2))</x:f>
      </x:c>
      <x:c r="X76" s="20" t="str">
        <x:f>IF($W76="","",IF($U76=0,$W76/Inputs!$B$6,PMT($U76/12,Inputs!$B$6,-$W76)))</x:f>
      </x:c>
      <x:c r="Y76" s="26" t="str">
        <x:f>IF($X76="","",MAX(0,100-(MAX(0,$X76-Inputs!$B$5)*Inputs!$B$14)))</x:f>
      </x:c>
      <x:c r="Z76" s="26" t="str">
        <x:f>IF($I76="","",IF($I76&lt;=60000,0,IF($I76&lt;=90000,5,IF($I76&lt;=110000,12,IF($I76&lt;=130000,22,IF($I76&lt;=150000,35,50))))))</x:f>
      </x:c>
      <x:c r="AA76" s="26" t="str">
        <x:f>IF($T76="","",IF($T76&lt;=5,0,IF($T76&lt;=8,5,IF($T76&lt;=10,12,IF($T76&lt;=12,20,35)))))</x:f>
      </x:c>
      <x:c r="AB76" s="26" t="str">
        <x:f>IF($J76="","",($K76*18)+IF($L76&gt;=3,10,IF($L76=2,3,0))+IF($M76="Yes",5,0)+IF($N76="Yes",15,0)+IF($O76="Yes",50,0))</x:f>
      </x:c>
      <x:c r="AC76" s="26" t="str">
        <x:f>IF($U76="","",IF($U76&gt;=0.11,20,IF($U76&gt;=0.09,12,IF($U76&gt;=0.075,6,0))))</x:f>
      </x:c>
      <x:c r="AD76" s="26" t="str">
        <x:f>IF($H76="","",ROUND(($R76*0.25)+($S76*0.20)+($Y76*0.25)+((100-$Z76-$AA76-$AB76-$AC76)*0.30),1))</x:f>
      </x:c>
      <x:c r="AE76" s="2" t="str">
        <x:f>IF($AD76="","",IF($O76="Yes","SKIP - title issue",IF($X76&gt;Inputs!$B$5,"OVER BUDGET",IF($AD76&gt;=82,"BUY",IF($AD76&gt;=70,"MAYBE","SKIP")))))</x:f>
      </x:c>
      <x:c r="AF76" s="2"/>
    </x:row>
    <x:row r="77">
      <x:c r="A77" s="2" t="str">
        <x:f>IF($AD77="","",COUNTIF($AD$2:$AD$101,"&gt;"&amp;$AD77)+COUNTIFS($AD$2:$AD77,$AD77))</x:f>
      </x:c>
      <x:c r="B77" s="2"/>
      <x:c r="C77" s="2"/>
      <x:c r="D77" s="2"/>
      <x:c r="E77" s="2"/>
      <x:c r="F77" s="2"/>
      <x:c r="G77" s="2"/>
      <x:c r="H77" s="20"/>
      <x:c r="I77" s="22"/>
      <x:c r="J77" s="22"/>
      <x:c r="K77" s="2"/>
      <x:c r="L77" s="2"/>
      <x:c r="M77" s="2"/>
      <x:c r="N77" s="2"/>
      <x:c r="O77" s="2"/>
      <x:c r="P77" s="2"/>
      <x:c r="Q77" s="2"/>
      <x:c r="R77" s="2" t="str">
        <x:f>IFERROR(VLOOKUP($Q77,'Model Scores'!$A$2:$D$100,2,FALSE),70)</x:f>
      </x:c>
      <x:c r="S77" s="2" t="str">
        <x:f>IFERROR(VLOOKUP($Q77,'Model Scores'!$A$2:$D$100,3,FALSE),60)</x:f>
      </x:c>
      <x:c r="T77" s="2" t="str">
        <x:f>IF($C77="","",Inputs!$B$12-$C77)</x:f>
      </x:c>
      <x:c r="U77" s="24" t="str">
        <x:f>IF($H77="","",Inputs!$B$7+IF($C77&lt;=2016,Inputs!$B$8,0)+IF($I77&gt;100000,Inputs!$B$9,0)+IF($I77&gt;120000,Inputs!$B$10,0)+IF($I77&gt;150000,Inputs!$B$11,0))</x:f>
      </x:c>
      <x:c r="V77" s="20" t="str">
        <x:f>IF($H77="","",$H77*(1+Inputs!$B$3)+Inputs!$B$4)</x:f>
      </x:c>
      <x:c r="W77" s="20" t="str">
        <x:f>IF($V77="","",MAX(0,$V77-Inputs!$B$2))</x:f>
      </x:c>
      <x:c r="X77" s="20" t="str">
        <x:f>IF($W77="","",IF($U77=0,$W77/Inputs!$B$6,PMT($U77/12,Inputs!$B$6,-$W77)))</x:f>
      </x:c>
      <x:c r="Y77" s="26" t="str">
        <x:f>IF($X77="","",MAX(0,100-(MAX(0,$X77-Inputs!$B$5)*Inputs!$B$14)))</x:f>
      </x:c>
      <x:c r="Z77" s="26" t="str">
        <x:f>IF($I77="","",IF($I77&lt;=60000,0,IF($I77&lt;=90000,5,IF($I77&lt;=110000,12,IF($I77&lt;=130000,22,IF($I77&lt;=150000,35,50))))))</x:f>
      </x:c>
      <x:c r="AA77" s="26" t="str">
        <x:f>IF($T77="","",IF($T77&lt;=5,0,IF($T77&lt;=8,5,IF($T77&lt;=10,12,IF($T77&lt;=12,20,35)))))</x:f>
      </x:c>
      <x:c r="AB77" s="26" t="str">
        <x:f>IF($J77="","",($K77*18)+IF($L77&gt;=3,10,IF($L77=2,3,0))+IF($M77="Yes",5,0)+IF($N77="Yes",15,0)+IF($O77="Yes",50,0))</x:f>
      </x:c>
      <x:c r="AC77" s="26" t="str">
        <x:f>IF($U77="","",IF($U77&gt;=0.11,20,IF($U77&gt;=0.09,12,IF($U77&gt;=0.075,6,0))))</x:f>
      </x:c>
      <x:c r="AD77" s="26" t="str">
        <x:f>IF($H77="","",ROUND(($R77*0.25)+($S77*0.20)+($Y77*0.25)+((100-$Z77-$AA77-$AB77-$AC77)*0.30),1))</x:f>
      </x:c>
      <x:c r="AE77" s="2" t="str">
        <x:f>IF($AD77="","",IF($O77="Yes","SKIP - title issue",IF($X77&gt;Inputs!$B$5,"OVER BUDGET",IF($AD77&gt;=82,"BUY",IF($AD77&gt;=70,"MAYBE","SKIP")))))</x:f>
      </x:c>
      <x:c r="AF77" s="2"/>
    </x:row>
    <x:row r="78">
      <x:c r="A78" s="2" t="str">
        <x:f>IF($AD78="","",COUNTIF($AD$2:$AD$101,"&gt;"&amp;$AD78)+COUNTIFS($AD$2:$AD78,$AD78))</x:f>
      </x:c>
      <x:c r="B78" s="2"/>
      <x:c r="C78" s="2"/>
      <x:c r="D78" s="2"/>
      <x:c r="E78" s="2"/>
      <x:c r="F78" s="2"/>
      <x:c r="G78" s="2"/>
      <x:c r="H78" s="20"/>
      <x:c r="I78" s="22"/>
      <x:c r="J78" s="22"/>
      <x:c r="K78" s="2"/>
      <x:c r="L78" s="2"/>
      <x:c r="M78" s="2"/>
      <x:c r="N78" s="2"/>
      <x:c r="O78" s="2"/>
      <x:c r="P78" s="2"/>
      <x:c r="Q78" s="2"/>
      <x:c r="R78" s="2" t="str">
        <x:f>IFERROR(VLOOKUP($Q78,'Model Scores'!$A$2:$D$100,2,FALSE),70)</x:f>
      </x:c>
      <x:c r="S78" s="2" t="str">
        <x:f>IFERROR(VLOOKUP($Q78,'Model Scores'!$A$2:$D$100,3,FALSE),60)</x:f>
      </x:c>
      <x:c r="T78" s="2" t="str">
        <x:f>IF($C78="","",Inputs!$B$12-$C78)</x:f>
      </x:c>
      <x:c r="U78" s="24" t="str">
        <x:f>IF($H78="","",Inputs!$B$7+IF($C78&lt;=2016,Inputs!$B$8,0)+IF($I78&gt;100000,Inputs!$B$9,0)+IF($I78&gt;120000,Inputs!$B$10,0)+IF($I78&gt;150000,Inputs!$B$11,0))</x:f>
      </x:c>
      <x:c r="V78" s="20" t="str">
        <x:f>IF($H78="","",$H78*(1+Inputs!$B$3)+Inputs!$B$4)</x:f>
      </x:c>
      <x:c r="W78" s="20" t="str">
        <x:f>IF($V78="","",MAX(0,$V78-Inputs!$B$2))</x:f>
      </x:c>
      <x:c r="X78" s="20" t="str">
        <x:f>IF($W78="","",IF($U78=0,$W78/Inputs!$B$6,PMT($U78/12,Inputs!$B$6,-$W78)))</x:f>
      </x:c>
      <x:c r="Y78" s="26" t="str">
        <x:f>IF($X78="","",MAX(0,100-(MAX(0,$X78-Inputs!$B$5)*Inputs!$B$14)))</x:f>
      </x:c>
      <x:c r="Z78" s="26" t="str">
        <x:f>IF($I78="","",IF($I78&lt;=60000,0,IF($I78&lt;=90000,5,IF($I78&lt;=110000,12,IF($I78&lt;=130000,22,IF($I78&lt;=150000,35,50))))))</x:f>
      </x:c>
      <x:c r="AA78" s="26" t="str">
        <x:f>IF($T78="","",IF($T78&lt;=5,0,IF($T78&lt;=8,5,IF($T78&lt;=10,12,IF($T78&lt;=12,20,35)))))</x:f>
      </x:c>
      <x:c r="AB78" s="26" t="str">
        <x:f>IF($J78="","",($K78*18)+IF($L78&gt;=3,10,IF($L78=2,3,0))+IF($M78="Yes",5,0)+IF($N78="Yes",15,0)+IF($O78="Yes",50,0))</x:f>
      </x:c>
      <x:c r="AC78" s="26" t="str">
        <x:f>IF($U78="","",IF($U78&gt;=0.11,20,IF($U78&gt;=0.09,12,IF($U78&gt;=0.075,6,0))))</x:f>
      </x:c>
      <x:c r="AD78" s="26" t="str">
        <x:f>IF($H78="","",ROUND(($R78*0.25)+($S78*0.20)+($Y78*0.25)+((100-$Z78-$AA78-$AB78-$AC78)*0.30),1))</x:f>
      </x:c>
      <x:c r="AE78" s="2" t="str">
        <x:f>IF($AD78="","",IF($O78="Yes","SKIP - title issue",IF($X78&gt;Inputs!$B$5,"OVER BUDGET",IF($AD78&gt;=82,"BUY",IF($AD78&gt;=70,"MAYBE","SKIP")))))</x:f>
      </x:c>
      <x:c r="AF78" s="2"/>
    </x:row>
    <x:row r="79">
      <x:c r="A79" s="2" t="str">
        <x:f>IF($AD79="","",COUNTIF($AD$2:$AD$101,"&gt;"&amp;$AD79)+COUNTIFS($AD$2:$AD79,$AD79))</x:f>
      </x:c>
      <x:c r="B79" s="2"/>
      <x:c r="C79" s="2"/>
      <x:c r="D79" s="2"/>
      <x:c r="E79" s="2"/>
      <x:c r="F79" s="2"/>
      <x:c r="G79" s="2"/>
      <x:c r="H79" s="20"/>
      <x:c r="I79" s="22"/>
      <x:c r="J79" s="22"/>
      <x:c r="K79" s="2"/>
      <x:c r="L79" s="2"/>
      <x:c r="M79" s="2"/>
      <x:c r="N79" s="2"/>
      <x:c r="O79" s="2"/>
      <x:c r="P79" s="2"/>
      <x:c r="Q79" s="2"/>
      <x:c r="R79" s="2" t="str">
        <x:f>IFERROR(VLOOKUP($Q79,'Model Scores'!$A$2:$D$100,2,FALSE),70)</x:f>
      </x:c>
      <x:c r="S79" s="2" t="str">
        <x:f>IFERROR(VLOOKUP($Q79,'Model Scores'!$A$2:$D$100,3,FALSE),60)</x:f>
      </x:c>
      <x:c r="T79" s="2" t="str">
        <x:f>IF($C79="","",Inputs!$B$12-$C79)</x:f>
      </x:c>
      <x:c r="U79" s="24" t="str">
        <x:f>IF($H79="","",Inputs!$B$7+IF($C79&lt;=2016,Inputs!$B$8,0)+IF($I79&gt;100000,Inputs!$B$9,0)+IF($I79&gt;120000,Inputs!$B$10,0)+IF($I79&gt;150000,Inputs!$B$11,0))</x:f>
      </x:c>
      <x:c r="V79" s="20" t="str">
        <x:f>IF($H79="","",$H79*(1+Inputs!$B$3)+Inputs!$B$4)</x:f>
      </x:c>
      <x:c r="W79" s="20" t="str">
        <x:f>IF($V79="","",MAX(0,$V79-Inputs!$B$2))</x:f>
      </x:c>
      <x:c r="X79" s="20" t="str">
        <x:f>IF($W79="","",IF($U79=0,$W79/Inputs!$B$6,PMT($U79/12,Inputs!$B$6,-$W79)))</x:f>
      </x:c>
      <x:c r="Y79" s="26" t="str">
        <x:f>IF($X79="","",MAX(0,100-(MAX(0,$X79-Inputs!$B$5)*Inputs!$B$14)))</x:f>
      </x:c>
      <x:c r="Z79" s="26" t="str">
        <x:f>IF($I79="","",IF($I79&lt;=60000,0,IF($I79&lt;=90000,5,IF($I79&lt;=110000,12,IF($I79&lt;=130000,22,IF($I79&lt;=150000,35,50))))))</x:f>
      </x:c>
      <x:c r="AA79" s="26" t="str">
        <x:f>IF($T79="","",IF($T79&lt;=5,0,IF($T79&lt;=8,5,IF($T79&lt;=10,12,IF($T79&lt;=12,20,35)))))</x:f>
      </x:c>
      <x:c r="AB79" s="26" t="str">
        <x:f>IF($J79="","",($K79*18)+IF($L79&gt;=3,10,IF($L79=2,3,0))+IF($M79="Yes",5,0)+IF($N79="Yes",15,0)+IF($O79="Yes",50,0))</x:f>
      </x:c>
      <x:c r="AC79" s="26" t="str">
        <x:f>IF($U79="","",IF($U79&gt;=0.11,20,IF($U79&gt;=0.09,12,IF($U79&gt;=0.075,6,0))))</x:f>
      </x:c>
      <x:c r="AD79" s="26" t="str">
        <x:f>IF($H79="","",ROUND(($R79*0.25)+($S79*0.20)+($Y79*0.25)+((100-$Z79-$AA79-$AB79-$AC79)*0.30),1))</x:f>
      </x:c>
      <x:c r="AE79" s="2" t="str">
        <x:f>IF($AD79="","",IF($O79="Yes","SKIP - title issue",IF($X79&gt;Inputs!$B$5,"OVER BUDGET",IF($AD79&gt;=82,"BUY",IF($AD79&gt;=70,"MAYBE","SKIP")))))</x:f>
      </x:c>
      <x:c r="AF79" s="2"/>
    </x:row>
    <x:row r="80">
      <x:c r="A80" s="2" t="str">
        <x:f>IF($AD80="","",COUNTIF($AD$2:$AD$101,"&gt;"&amp;$AD80)+COUNTIFS($AD$2:$AD80,$AD80))</x:f>
      </x:c>
      <x:c r="B80" s="2"/>
      <x:c r="C80" s="2"/>
      <x:c r="D80" s="2"/>
      <x:c r="E80" s="2"/>
      <x:c r="F80" s="2"/>
      <x:c r="G80" s="2"/>
      <x:c r="H80" s="20"/>
      <x:c r="I80" s="22"/>
      <x:c r="J80" s="22"/>
      <x:c r="K80" s="2"/>
      <x:c r="L80" s="2"/>
      <x:c r="M80" s="2"/>
      <x:c r="N80" s="2"/>
      <x:c r="O80" s="2"/>
      <x:c r="P80" s="2"/>
      <x:c r="Q80" s="2"/>
      <x:c r="R80" s="2" t="str">
        <x:f>IFERROR(VLOOKUP($Q80,'Model Scores'!$A$2:$D$100,2,FALSE),70)</x:f>
      </x:c>
      <x:c r="S80" s="2" t="str">
        <x:f>IFERROR(VLOOKUP($Q80,'Model Scores'!$A$2:$D$100,3,FALSE),60)</x:f>
      </x:c>
      <x:c r="T80" s="2" t="str">
        <x:f>IF($C80="","",Inputs!$B$12-$C80)</x:f>
      </x:c>
      <x:c r="U80" s="24" t="str">
        <x:f>IF($H80="","",Inputs!$B$7+IF($C80&lt;=2016,Inputs!$B$8,0)+IF($I80&gt;100000,Inputs!$B$9,0)+IF($I80&gt;120000,Inputs!$B$10,0)+IF($I80&gt;150000,Inputs!$B$11,0))</x:f>
      </x:c>
      <x:c r="V80" s="20" t="str">
        <x:f>IF($H80="","",$H80*(1+Inputs!$B$3)+Inputs!$B$4)</x:f>
      </x:c>
      <x:c r="W80" s="20" t="str">
        <x:f>IF($V80="","",MAX(0,$V80-Inputs!$B$2))</x:f>
      </x:c>
      <x:c r="X80" s="20" t="str">
        <x:f>IF($W80="","",IF($U80=0,$W80/Inputs!$B$6,PMT($U80/12,Inputs!$B$6,-$W80)))</x:f>
      </x:c>
      <x:c r="Y80" s="26" t="str">
        <x:f>IF($X80="","",MAX(0,100-(MAX(0,$X80-Inputs!$B$5)*Inputs!$B$14)))</x:f>
      </x:c>
      <x:c r="Z80" s="26" t="str">
        <x:f>IF($I80="","",IF($I80&lt;=60000,0,IF($I80&lt;=90000,5,IF($I80&lt;=110000,12,IF($I80&lt;=130000,22,IF($I80&lt;=150000,35,50))))))</x:f>
      </x:c>
      <x:c r="AA80" s="26" t="str">
        <x:f>IF($T80="","",IF($T80&lt;=5,0,IF($T80&lt;=8,5,IF($T80&lt;=10,12,IF($T80&lt;=12,20,35)))))</x:f>
      </x:c>
      <x:c r="AB80" s="26" t="str">
        <x:f>IF($J80="","",($K80*18)+IF($L80&gt;=3,10,IF($L80=2,3,0))+IF($M80="Yes",5,0)+IF($N80="Yes",15,0)+IF($O80="Yes",50,0))</x:f>
      </x:c>
      <x:c r="AC80" s="26" t="str">
        <x:f>IF($U80="","",IF($U80&gt;=0.11,20,IF($U80&gt;=0.09,12,IF($U80&gt;=0.075,6,0))))</x:f>
      </x:c>
      <x:c r="AD80" s="26" t="str">
        <x:f>IF($H80="","",ROUND(($R80*0.25)+($S80*0.20)+($Y80*0.25)+((100-$Z80-$AA80-$AB80-$AC80)*0.30),1))</x:f>
      </x:c>
      <x:c r="AE80" s="2" t="str">
        <x:f>IF($AD80="","",IF($O80="Yes","SKIP - title issue",IF($X80&gt;Inputs!$B$5,"OVER BUDGET",IF($AD80&gt;=82,"BUY",IF($AD80&gt;=70,"MAYBE","SKIP")))))</x:f>
      </x:c>
      <x:c r="AF80" s="2"/>
    </x:row>
    <x:row r="81">
      <x:c r="A81" s="2" t="str">
        <x:f>IF($AD81="","",COUNTIF($AD$2:$AD$101,"&gt;"&amp;$AD81)+COUNTIFS($AD$2:$AD81,$AD81))</x:f>
      </x:c>
      <x:c r="B81" s="2"/>
      <x:c r="C81" s="2"/>
      <x:c r="D81" s="2"/>
      <x:c r="E81" s="2"/>
      <x:c r="F81" s="2"/>
      <x:c r="G81" s="2"/>
      <x:c r="H81" s="20"/>
      <x:c r="I81" s="22"/>
      <x:c r="J81" s="22"/>
      <x:c r="K81" s="2"/>
      <x:c r="L81" s="2"/>
      <x:c r="M81" s="2"/>
      <x:c r="N81" s="2"/>
      <x:c r="O81" s="2"/>
      <x:c r="P81" s="2"/>
      <x:c r="Q81" s="2"/>
      <x:c r="R81" s="2" t="str">
        <x:f>IFERROR(VLOOKUP($Q81,'Model Scores'!$A$2:$D$100,2,FALSE),70)</x:f>
      </x:c>
      <x:c r="S81" s="2" t="str">
        <x:f>IFERROR(VLOOKUP($Q81,'Model Scores'!$A$2:$D$100,3,FALSE),60)</x:f>
      </x:c>
      <x:c r="T81" s="2" t="str">
        <x:f>IF($C81="","",Inputs!$B$12-$C81)</x:f>
      </x:c>
      <x:c r="U81" s="24" t="str">
        <x:f>IF($H81="","",Inputs!$B$7+IF($C81&lt;=2016,Inputs!$B$8,0)+IF($I81&gt;100000,Inputs!$B$9,0)+IF($I81&gt;120000,Inputs!$B$10,0)+IF($I81&gt;150000,Inputs!$B$11,0))</x:f>
      </x:c>
      <x:c r="V81" s="20" t="str">
        <x:f>IF($H81="","",$H81*(1+Inputs!$B$3)+Inputs!$B$4)</x:f>
      </x:c>
      <x:c r="W81" s="20" t="str">
        <x:f>IF($V81="","",MAX(0,$V81-Inputs!$B$2))</x:f>
      </x:c>
      <x:c r="X81" s="20" t="str">
        <x:f>IF($W81="","",IF($U81=0,$W81/Inputs!$B$6,PMT($U81/12,Inputs!$B$6,-$W81)))</x:f>
      </x:c>
      <x:c r="Y81" s="26" t="str">
        <x:f>IF($X81="","",MAX(0,100-(MAX(0,$X81-Inputs!$B$5)*Inputs!$B$14)))</x:f>
      </x:c>
      <x:c r="Z81" s="26" t="str">
        <x:f>IF($I81="","",IF($I81&lt;=60000,0,IF($I81&lt;=90000,5,IF($I81&lt;=110000,12,IF($I81&lt;=130000,22,IF($I81&lt;=150000,35,50))))))</x:f>
      </x:c>
      <x:c r="AA81" s="26" t="str">
        <x:f>IF($T81="","",IF($T81&lt;=5,0,IF($T81&lt;=8,5,IF($T81&lt;=10,12,IF($T81&lt;=12,20,35)))))</x:f>
      </x:c>
      <x:c r="AB81" s="26" t="str">
        <x:f>IF($J81="","",($K81*18)+IF($L81&gt;=3,10,IF($L81=2,3,0))+IF($M81="Yes",5,0)+IF($N81="Yes",15,0)+IF($O81="Yes",50,0))</x:f>
      </x:c>
      <x:c r="AC81" s="26" t="str">
        <x:f>IF($U81="","",IF($U81&gt;=0.11,20,IF($U81&gt;=0.09,12,IF($U81&gt;=0.075,6,0))))</x:f>
      </x:c>
      <x:c r="AD81" s="26" t="str">
        <x:f>IF($H81="","",ROUND(($R81*0.25)+($S81*0.20)+($Y81*0.25)+((100-$Z81-$AA81-$AB81-$AC81)*0.30),1))</x:f>
      </x:c>
      <x:c r="AE81" s="2" t="str">
        <x:f>IF($AD81="","",IF($O81="Yes","SKIP - title issue",IF($X81&gt;Inputs!$B$5,"OVER BUDGET",IF($AD81&gt;=82,"BUY",IF($AD81&gt;=70,"MAYBE","SKIP")))))</x:f>
      </x:c>
      <x:c r="AF81" s="2"/>
    </x:row>
    <x:row r="82">
      <x:c r="A82" s="2" t="str">
        <x:f>IF($AD82="","",COUNTIF($AD$2:$AD$101,"&gt;"&amp;$AD82)+COUNTIFS($AD$2:$AD82,$AD82))</x:f>
      </x:c>
      <x:c r="B82" s="2"/>
      <x:c r="C82" s="2"/>
      <x:c r="D82" s="2"/>
      <x:c r="E82" s="2"/>
      <x:c r="F82" s="2"/>
      <x:c r="G82" s="2"/>
      <x:c r="H82" s="20"/>
      <x:c r="I82" s="22"/>
      <x:c r="J82" s="22"/>
      <x:c r="K82" s="2"/>
      <x:c r="L82" s="2"/>
      <x:c r="M82" s="2"/>
      <x:c r="N82" s="2"/>
      <x:c r="O82" s="2"/>
      <x:c r="P82" s="2"/>
      <x:c r="Q82" s="2"/>
      <x:c r="R82" s="2" t="str">
        <x:f>IFERROR(VLOOKUP($Q82,'Model Scores'!$A$2:$D$100,2,FALSE),70)</x:f>
      </x:c>
      <x:c r="S82" s="2" t="str">
        <x:f>IFERROR(VLOOKUP($Q82,'Model Scores'!$A$2:$D$100,3,FALSE),60)</x:f>
      </x:c>
      <x:c r="T82" s="2" t="str">
        <x:f>IF($C82="","",Inputs!$B$12-$C82)</x:f>
      </x:c>
      <x:c r="U82" s="24" t="str">
        <x:f>IF($H82="","",Inputs!$B$7+IF($C82&lt;=2016,Inputs!$B$8,0)+IF($I82&gt;100000,Inputs!$B$9,0)+IF($I82&gt;120000,Inputs!$B$10,0)+IF($I82&gt;150000,Inputs!$B$11,0))</x:f>
      </x:c>
      <x:c r="V82" s="20" t="str">
        <x:f>IF($H82="","",$H82*(1+Inputs!$B$3)+Inputs!$B$4)</x:f>
      </x:c>
      <x:c r="W82" s="20" t="str">
        <x:f>IF($V82="","",MAX(0,$V82-Inputs!$B$2))</x:f>
      </x:c>
      <x:c r="X82" s="20" t="str">
        <x:f>IF($W82="","",IF($U82=0,$W82/Inputs!$B$6,PMT($U82/12,Inputs!$B$6,-$W82)))</x:f>
      </x:c>
      <x:c r="Y82" s="26" t="str">
        <x:f>IF($X82="","",MAX(0,100-(MAX(0,$X82-Inputs!$B$5)*Inputs!$B$14)))</x:f>
      </x:c>
      <x:c r="Z82" s="26" t="str">
        <x:f>IF($I82="","",IF($I82&lt;=60000,0,IF($I82&lt;=90000,5,IF($I82&lt;=110000,12,IF($I82&lt;=130000,22,IF($I82&lt;=150000,35,50))))))</x:f>
      </x:c>
      <x:c r="AA82" s="26" t="str">
        <x:f>IF($T82="","",IF($T82&lt;=5,0,IF($T82&lt;=8,5,IF($T82&lt;=10,12,IF($T82&lt;=12,20,35)))))</x:f>
      </x:c>
      <x:c r="AB82" s="26" t="str">
        <x:f>IF($J82="","",($K82*18)+IF($L82&gt;=3,10,IF($L82=2,3,0))+IF($M82="Yes",5,0)+IF($N82="Yes",15,0)+IF($O82="Yes",50,0))</x:f>
      </x:c>
      <x:c r="AC82" s="26" t="str">
        <x:f>IF($U82="","",IF($U82&gt;=0.11,20,IF($U82&gt;=0.09,12,IF($U82&gt;=0.075,6,0))))</x:f>
      </x:c>
      <x:c r="AD82" s="26" t="str">
        <x:f>IF($H82="","",ROUND(($R82*0.25)+($S82*0.20)+($Y82*0.25)+((100-$Z82-$AA82-$AB82-$AC82)*0.30),1))</x:f>
      </x:c>
      <x:c r="AE82" s="2" t="str">
        <x:f>IF($AD82="","",IF($O82="Yes","SKIP - title issue",IF($X82&gt;Inputs!$B$5,"OVER BUDGET",IF($AD82&gt;=82,"BUY",IF($AD82&gt;=70,"MAYBE","SKIP")))))</x:f>
      </x:c>
      <x:c r="AF82" s="2"/>
    </x:row>
    <x:row r="83">
      <x:c r="A83" s="2" t="str">
        <x:f>IF($AD83="","",COUNTIF($AD$2:$AD$101,"&gt;"&amp;$AD83)+COUNTIFS($AD$2:$AD83,$AD83))</x:f>
      </x:c>
      <x:c r="B83" s="2"/>
      <x:c r="C83" s="2"/>
      <x:c r="D83" s="2"/>
      <x:c r="E83" s="2"/>
      <x:c r="F83" s="2"/>
      <x:c r="G83" s="2"/>
      <x:c r="H83" s="20"/>
      <x:c r="I83" s="22"/>
      <x:c r="J83" s="22"/>
      <x:c r="K83" s="2"/>
      <x:c r="L83" s="2"/>
      <x:c r="M83" s="2"/>
      <x:c r="N83" s="2"/>
      <x:c r="O83" s="2"/>
      <x:c r="P83" s="2"/>
      <x:c r="Q83" s="2"/>
      <x:c r="R83" s="2" t="str">
        <x:f>IFERROR(VLOOKUP($Q83,'Model Scores'!$A$2:$D$100,2,FALSE),70)</x:f>
      </x:c>
      <x:c r="S83" s="2" t="str">
        <x:f>IFERROR(VLOOKUP($Q83,'Model Scores'!$A$2:$D$100,3,FALSE),60)</x:f>
      </x:c>
      <x:c r="T83" s="2" t="str">
        <x:f>IF($C83="","",Inputs!$B$12-$C83)</x:f>
      </x:c>
      <x:c r="U83" s="24" t="str">
        <x:f>IF($H83="","",Inputs!$B$7+IF($C83&lt;=2016,Inputs!$B$8,0)+IF($I83&gt;100000,Inputs!$B$9,0)+IF($I83&gt;120000,Inputs!$B$10,0)+IF($I83&gt;150000,Inputs!$B$11,0))</x:f>
      </x:c>
      <x:c r="V83" s="20" t="str">
        <x:f>IF($H83="","",$H83*(1+Inputs!$B$3)+Inputs!$B$4)</x:f>
      </x:c>
      <x:c r="W83" s="20" t="str">
        <x:f>IF($V83="","",MAX(0,$V83-Inputs!$B$2))</x:f>
      </x:c>
      <x:c r="X83" s="20" t="str">
        <x:f>IF($W83="","",IF($U83=0,$W83/Inputs!$B$6,PMT($U83/12,Inputs!$B$6,-$W83)))</x:f>
      </x:c>
      <x:c r="Y83" s="26" t="str">
        <x:f>IF($X83="","",MAX(0,100-(MAX(0,$X83-Inputs!$B$5)*Inputs!$B$14)))</x:f>
      </x:c>
      <x:c r="Z83" s="26" t="str">
        <x:f>IF($I83="","",IF($I83&lt;=60000,0,IF($I83&lt;=90000,5,IF($I83&lt;=110000,12,IF($I83&lt;=130000,22,IF($I83&lt;=150000,35,50))))))</x:f>
      </x:c>
      <x:c r="AA83" s="26" t="str">
        <x:f>IF($T83="","",IF($T83&lt;=5,0,IF($T83&lt;=8,5,IF($T83&lt;=10,12,IF($T83&lt;=12,20,35)))))</x:f>
      </x:c>
      <x:c r="AB83" s="26" t="str">
        <x:f>IF($J83="","",($K83*18)+IF($L83&gt;=3,10,IF($L83=2,3,0))+IF($M83="Yes",5,0)+IF($N83="Yes",15,0)+IF($O83="Yes",50,0))</x:f>
      </x:c>
      <x:c r="AC83" s="26" t="str">
        <x:f>IF($U83="","",IF($U83&gt;=0.11,20,IF($U83&gt;=0.09,12,IF($U83&gt;=0.075,6,0))))</x:f>
      </x:c>
      <x:c r="AD83" s="26" t="str">
        <x:f>IF($H83="","",ROUND(($R83*0.25)+($S83*0.20)+($Y83*0.25)+((100-$Z83-$AA83-$AB83-$AC83)*0.30),1))</x:f>
      </x:c>
      <x:c r="AE83" s="2" t="str">
        <x:f>IF($AD83="","",IF($O83="Yes","SKIP - title issue",IF($X83&gt;Inputs!$B$5,"OVER BUDGET",IF($AD83&gt;=82,"BUY",IF($AD83&gt;=70,"MAYBE","SKIP")))))</x:f>
      </x:c>
      <x:c r="AF83" s="2"/>
    </x:row>
    <x:row r="84">
      <x:c r="A84" s="2" t="str">
        <x:f>IF($AD84="","",COUNTIF($AD$2:$AD$101,"&gt;"&amp;$AD84)+COUNTIFS($AD$2:$AD84,$AD84))</x:f>
      </x:c>
      <x:c r="B84" s="2"/>
      <x:c r="C84" s="2"/>
      <x:c r="D84" s="2"/>
      <x:c r="E84" s="2"/>
      <x:c r="F84" s="2"/>
      <x:c r="G84" s="2"/>
      <x:c r="H84" s="20"/>
      <x:c r="I84" s="22"/>
      <x:c r="J84" s="22"/>
      <x:c r="K84" s="2"/>
      <x:c r="L84" s="2"/>
      <x:c r="M84" s="2"/>
      <x:c r="N84" s="2"/>
      <x:c r="O84" s="2"/>
      <x:c r="P84" s="2"/>
      <x:c r="Q84" s="2"/>
      <x:c r="R84" s="2" t="str">
        <x:f>IFERROR(VLOOKUP($Q84,'Model Scores'!$A$2:$D$100,2,FALSE),70)</x:f>
      </x:c>
      <x:c r="S84" s="2" t="str">
        <x:f>IFERROR(VLOOKUP($Q84,'Model Scores'!$A$2:$D$100,3,FALSE),60)</x:f>
      </x:c>
      <x:c r="T84" s="2" t="str">
        <x:f>IF($C84="","",Inputs!$B$12-$C84)</x:f>
      </x:c>
      <x:c r="U84" s="24" t="str">
        <x:f>IF($H84="","",Inputs!$B$7+IF($C84&lt;=2016,Inputs!$B$8,0)+IF($I84&gt;100000,Inputs!$B$9,0)+IF($I84&gt;120000,Inputs!$B$10,0)+IF($I84&gt;150000,Inputs!$B$11,0))</x:f>
      </x:c>
      <x:c r="V84" s="20" t="str">
        <x:f>IF($H84="","",$H84*(1+Inputs!$B$3)+Inputs!$B$4)</x:f>
      </x:c>
      <x:c r="W84" s="20" t="str">
        <x:f>IF($V84="","",MAX(0,$V84-Inputs!$B$2))</x:f>
      </x:c>
      <x:c r="X84" s="20" t="str">
        <x:f>IF($W84="","",IF($U84=0,$W84/Inputs!$B$6,PMT($U84/12,Inputs!$B$6,-$W84)))</x:f>
      </x:c>
      <x:c r="Y84" s="26" t="str">
        <x:f>IF($X84="","",MAX(0,100-(MAX(0,$X84-Inputs!$B$5)*Inputs!$B$14)))</x:f>
      </x:c>
      <x:c r="Z84" s="26" t="str">
        <x:f>IF($I84="","",IF($I84&lt;=60000,0,IF($I84&lt;=90000,5,IF($I84&lt;=110000,12,IF($I84&lt;=130000,22,IF($I84&lt;=150000,35,50))))))</x:f>
      </x:c>
      <x:c r="AA84" s="26" t="str">
        <x:f>IF($T84="","",IF($T84&lt;=5,0,IF($T84&lt;=8,5,IF($T84&lt;=10,12,IF($T84&lt;=12,20,35)))))</x:f>
      </x:c>
      <x:c r="AB84" s="26" t="str">
        <x:f>IF($J84="","",($K84*18)+IF($L84&gt;=3,10,IF($L84=2,3,0))+IF($M84="Yes",5,0)+IF($N84="Yes",15,0)+IF($O84="Yes",50,0))</x:f>
      </x:c>
      <x:c r="AC84" s="26" t="str">
        <x:f>IF($U84="","",IF($U84&gt;=0.11,20,IF($U84&gt;=0.09,12,IF($U84&gt;=0.075,6,0))))</x:f>
      </x:c>
      <x:c r="AD84" s="26" t="str">
        <x:f>IF($H84="","",ROUND(($R84*0.25)+($S84*0.20)+($Y84*0.25)+((100-$Z84-$AA84-$AB84-$AC84)*0.30),1))</x:f>
      </x:c>
      <x:c r="AE84" s="2" t="str">
        <x:f>IF($AD84="","",IF($O84="Yes","SKIP - title issue",IF($X84&gt;Inputs!$B$5,"OVER BUDGET",IF($AD84&gt;=82,"BUY",IF($AD84&gt;=70,"MAYBE","SKIP")))))</x:f>
      </x:c>
      <x:c r="AF84" s="2"/>
    </x:row>
    <x:row r="85">
      <x:c r="A85" s="2" t="str">
        <x:f>IF($AD85="","",COUNTIF($AD$2:$AD$101,"&gt;"&amp;$AD85)+COUNTIFS($AD$2:$AD85,$AD85))</x:f>
      </x:c>
      <x:c r="B85" s="2"/>
      <x:c r="C85" s="2"/>
      <x:c r="D85" s="2"/>
      <x:c r="E85" s="2"/>
      <x:c r="F85" s="2"/>
      <x:c r="G85" s="2"/>
      <x:c r="H85" s="20"/>
      <x:c r="I85" s="22"/>
      <x:c r="J85" s="22"/>
      <x:c r="K85" s="2"/>
      <x:c r="L85" s="2"/>
      <x:c r="M85" s="2"/>
      <x:c r="N85" s="2"/>
      <x:c r="O85" s="2"/>
      <x:c r="P85" s="2"/>
      <x:c r="Q85" s="2"/>
      <x:c r="R85" s="2" t="str">
        <x:f>IFERROR(VLOOKUP($Q85,'Model Scores'!$A$2:$D$100,2,FALSE),70)</x:f>
      </x:c>
      <x:c r="S85" s="2" t="str">
        <x:f>IFERROR(VLOOKUP($Q85,'Model Scores'!$A$2:$D$100,3,FALSE),60)</x:f>
      </x:c>
      <x:c r="T85" s="2" t="str">
        <x:f>IF($C85="","",Inputs!$B$12-$C85)</x:f>
      </x:c>
      <x:c r="U85" s="24" t="str">
        <x:f>IF($H85="","",Inputs!$B$7+IF($C85&lt;=2016,Inputs!$B$8,0)+IF($I85&gt;100000,Inputs!$B$9,0)+IF($I85&gt;120000,Inputs!$B$10,0)+IF($I85&gt;150000,Inputs!$B$11,0))</x:f>
      </x:c>
      <x:c r="V85" s="20" t="str">
        <x:f>IF($H85="","",$H85*(1+Inputs!$B$3)+Inputs!$B$4)</x:f>
      </x:c>
      <x:c r="W85" s="20" t="str">
        <x:f>IF($V85="","",MAX(0,$V85-Inputs!$B$2))</x:f>
      </x:c>
      <x:c r="X85" s="20" t="str">
        <x:f>IF($W85="","",IF($U85=0,$W85/Inputs!$B$6,PMT($U85/12,Inputs!$B$6,-$W85)))</x:f>
      </x:c>
      <x:c r="Y85" s="26" t="str">
        <x:f>IF($X85="","",MAX(0,100-(MAX(0,$X85-Inputs!$B$5)*Inputs!$B$14)))</x:f>
      </x:c>
      <x:c r="Z85" s="26" t="str">
        <x:f>IF($I85="","",IF($I85&lt;=60000,0,IF($I85&lt;=90000,5,IF($I85&lt;=110000,12,IF($I85&lt;=130000,22,IF($I85&lt;=150000,35,50))))))</x:f>
      </x:c>
      <x:c r="AA85" s="26" t="str">
        <x:f>IF($T85="","",IF($T85&lt;=5,0,IF($T85&lt;=8,5,IF($T85&lt;=10,12,IF($T85&lt;=12,20,35)))))</x:f>
      </x:c>
      <x:c r="AB85" s="26" t="str">
        <x:f>IF($J85="","",($K85*18)+IF($L85&gt;=3,10,IF($L85=2,3,0))+IF($M85="Yes",5,0)+IF($N85="Yes",15,0)+IF($O85="Yes",50,0))</x:f>
      </x:c>
      <x:c r="AC85" s="26" t="str">
        <x:f>IF($U85="","",IF($U85&gt;=0.11,20,IF($U85&gt;=0.09,12,IF($U85&gt;=0.075,6,0))))</x:f>
      </x:c>
      <x:c r="AD85" s="26" t="str">
        <x:f>IF($H85="","",ROUND(($R85*0.25)+($S85*0.20)+($Y85*0.25)+((100-$Z85-$AA85-$AB85-$AC85)*0.30),1))</x:f>
      </x:c>
      <x:c r="AE85" s="2" t="str">
        <x:f>IF($AD85="","",IF($O85="Yes","SKIP - title issue",IF($X85&gt;Inputs!$B$5,"OVER BUDGET",IF($AD85&gt;=82,"BUY",IF($AD85&gt;=70,"MAYBE","SKIP")))))</x:f>
      </x:c>
      <x:c r="AF85" s="2"/>
    </x:row>
    <x:row r="86">
      <x:c r="A86" s="2" t="str">
        <x:f>IF($AD86="","",COUNTIF($AD$2:$AD$101,"&gt;"&amp;$AD86)+COUNTIFS($AD$2:$AD86,$AD86))</x:f>
      </x:c>
      <x:c r="B86" s="2"/>
      <x:c r="C86" s="2"/>
      <x:c r="D86" s="2"/>
      <x:c r="E86" s="2"/>
      <x:c r="F86" s="2"/>
      <x:c r="G86" s="2"/>
      <x:c r="H86" s="20"/>
      <x:c r="I86" s="22"/>
      <x:c r="J86" s="22"/>
      <x:c r="K86" s="2"/>
      <x:c r="L86" s="2"/>
      <x:c r="M86" s="2"/>
      <x:c r="N86" s="2"/>
      <x:c r="O86" s="2"/>
      <x:c r="P86" s="2"/>
      <x:c r="Q86" s="2"/>
      <x:c r="R86" s="2" t="str">
        <x:f>IFERROR(VLOOKUP($Q86,'Model Scores'!$A$2:$D$100,2,FALSE),70)</x:f>
      </x:c>
      <x:c r="S86" s="2" t="str">
        <x:f>IFERROR(VLOOKUP($Q86,'Model Scores'!$A$2:$D$100,3,FALSE),60)</x:f>
      </x:c>
      <x:c r="T86" s="2" t="str">
        <x:f>IF($C86="","",Inputs!$B$12-$C86)</x:f>
      </x:c>
      <x:c r="U86" s="24" t="str">
        <x:f>IF($H86="","",Inputs!$B$7+IF($C86&lt;=2016,Inputs!$B$8,0)+IF($I86&gt;100000,Inputs!$B$9,0)+IF($I86&gt;120000,Inputs!$B$10,0)+IF($I86&gt;150000,Inputs!$B$11,0))</x:f>
      </x:c>
      <x:c r="V86" s="20" t="str">
        <x:f>IF($H86="","",$H86*(1+Inputs!$B$3)+Inputs!$B$4)</x:f>
      </x:c>
      <x:c r="W86" s="20" t="str">
        <x:f>IF($V86="","",MAX(0,$V86-Inputs!$B$2))</x:f>
      </x:c>
      <x:c r="X86" s="20" t="str">
        <x:f>IF($W86="","",IF($U86=0,$W86/Inputs!$B$6,PMT($U86/12,Inputs!$B$6,-$W86)))</x:f>
      </x:c>
      <x:c r="Y86" s="26" t="str">
        <x:f>IF($X86="","",MAX(0,100-(MAX(0,$X86-Inputs!$B$5)*Inputs!$B$14)))</x:f>
      </x:c>
      <x:c r="Z86" s="26" t="str">
        <x:f>IF($I86="","",IF($I86&lt;=60000,0,IF($I86&lt;=90000,5,IF($I86&lt;=110000,12,IF($I86&lt;=130000,22,IF($I86&lt;=150000,35,50))))))</x:f>
      </x:c>
      <x:c r="AA86" s="26" t="str">
        <x:f>IF($T86="","",IF($T86&lt;=5,0,IF($T86&lt;=8,5,IF($T86&lt;=10,12,IF($T86&lt;=12,20,35)))))</x:f>
      </x:c>
      <x:c r="AB86" s="26" t="str">
        <x:f>IF($J86="","",($K86*18)+IF($L86&gt;=3,10,IF($L86=2,3,0))+IF($M86="Yes",5,0)+IF($N86="Yes",15,0)+IF($O86="Yes",50,0))</x:f>
      </x:c>
      <x:c r="AC86" s="26" t="str">
        <x:f>IF($U86="","",IF($U86&gt;=0.11,20,IF($U86&gt;=0.09,12,IF($U86&gt;=0.075,6,0))))</x:f>
      </x:c>
      <x:c r="AD86" s="26" t="str">
        <x:f>IF($H86="","",ROUND(($R86*0.25)+($S86*0.20)+($Y86*0.25)+((100-$Z86-$AA86-$AB86-$AC86)*0.30),1))</x:f>
      </x:c>
      <x:c r="AE86" s="2" t="str">
        <x:f>IF($AD86="","",IF($O86="Yes","SKIP - title issue",IF($X86&gt;Inputs!$B$5,"OVER BUDGET",IF($AD86&gt;=82,"BUY",IF($AD86&gt;=70,"MAYBE","SKIP")))))</x:f>
      </x:c>
      <x:c r="AF86" s="2"/>
    </x:row>
    <x:row r="87">
      <x:c r="A87" s="2" t="str">
        <x:f>IF($AD87="","",COUNTIF($AD$2:$AD$101,"&gt;"&amp;$AD87)+COUNTIFS($AD$2:$AD87,$AD87))</x:f>
      </x:c>
      <x:c r="B87" s="2"/>
      <x:c r="C87" s="2"/>
      <x:c r="D87" s="2"/>
      <x:c r="E87" s="2"/>
      <x:c r="F87" s="2"/>
      <x:c r="G87" s="2"/>
      <x:c r="H87" s="20"/>
      <x:c r="I87" s="22"/>
      <x:c r="J87" s="22"/>
      <x:c r="K87" s="2"/>
      <x:c r="L87" s="2"/>
      <x:c r="M87" s="2"/>
      <x:c r="N87" s="2"/>
      <x:c r="O87" s="2"/>
      <x:c r="P87" s="2"/>
      <x:c r="Q87" s="2"/>
      <x:c r="R87" s="2" t="str">
        <x:f>IFERROR(VLOOKUP($Q87,'Model Scores'!$A$2:$D$100,2,FALSE),70)</x:f>
      </x:c>
      <x:c r="S87" s="2" t="str">
        <x:f>IFERROR(VLOOKUP($Q87,'Model Scores'!$A$2:$D$100,3,FALSE),60)</x:f>
      </x:c>
      <x:c r="T87" s="2" t="str">
        <x:f>IF($C87="","",Inputs!$B$12-$C87)</x:f>
      </x:c>
      <x:c r="U87" s="24" t="str">
        <x:f>IF($H87="","",Inputs!$B$7+IF($C87&lt;=2016,Inputs!$B$8,0)+IF($I87&gt;100000,Inputs!$B$9,0)+IF($I87&gt;120000,Inputs!$B$10,0)+IF($I87&gt;150000,Inputs!$B$11,0))</x:f>
      </x:c>
      <x:c r="V87" s="20" t="str">
        <x:f>IF($H87="","",$H87*(1+Inputs!$B$3)+Inputs!$B$4)</x:f>
      </x:c>
      <x:c r="W87" s="20" t="str">
        <x:f>IF($V87="","",MAX(0,$V87-Inputs!$B$2))</x:f>
      </x:c>
      <x:c r="X87" s="20" t="str">
        <x:f>IF($W87="","",IF($U87=0,$W87/Inputs!$B$6,PMT($U87/12,Inputs!$B$6,-$W87)))</x:f>
      </x:c>
      <x:c r="Y87" s="26" t="str">
        <x:f>IF($X87="","",MAX(0,100-(MAX(0,$X87-Inputs!$B$5)*Inputs!$B$14)))</x:f>
      </x:c>
      <x:c r="Z87" s="26" t="str">
        <x:f>IF($I87="","",IF($I87&lt;=60000,0,IF($I87&lt;=90000,5,IF($I87&lt;=110000,12,IF($I87&lt;=130000,22,IF($I87&lt;=150000,35,50))))))</x:f>
      </x:c>
      <x:c r="AA87" s="26" t="str">
        <x:f>IF($T87="","",IF($T87&lt;=5,0,IF($T87&lt;=8,5,IF($T87&lt;=10,12,IF($T87&lt;=12,20,35)))))</x:f>
      </x:c>
      <x:c r="AB87" s="26" t="str">
        <x:f>IF($J87="","",($K87*18)+IF($L87&gt;=3,10,IF($L87=2,3,0))+IF($M87="Yes",5,0)+IF($N87="Yes",15,0)+IF($O87="Yes",50,0))</x:f>
      </x:c>
      <x:c r="AC87" s="26" t="str">
        <x:f>IF($U87="","",IF($U87&gt;=0.11,20,IF($U87&gt;=0.09,12,IF($U87&gt;=0.075,6,0))))</x:f>
      </x:c>
      <x:c r="AD87" s="26" t="str">
        <x:f>IF($H87="","",ROUND(($R87*0.25)+($S87*0.20)+($Y87*0.25)+((100-$Z87-$AA87-$AB87-$AC87)*0.30),1))</x:f>
      </x:c>
      <x:c r="AE87" s="2" t="str">
        <x:f>IF($AD87="","",IF($O87="Yes","SKIP - title issue",IF($X87&gt;Inputs!$B$5,"OVER BUDGET",IF($AD87&gt;=82,"BUY",IF($AD87&gt;=70,"MAYBE","SKIP")))))</x:f>
      </x:c>
      <x:c r="AF87" s="2"/>
    </x:row>
    <x:row r="88">
      <x:c r="A88" s="2" t="str">
        <x:f>IF($AD88="","",COUNTIF($AD$2:$AD$101,"&gt;"&amp;$AD88)+COUNTIFS($AD$2:$AD88,$AD88))</x:f>
      </x:c>
      <x:c r="B88" s="2"/>
      <x:c r="C88" s="2"/>
      <x:c r="D88" s="2"/>
      <x:c r="E88" s="2"/>
      <x:c r="F88" s="2"/>
      <x:c r="G88" s="2"/>
      <x:c r="H88" s="20"/>
      <x:c r="I88" s="22"/>
      <x:c r="J88" s="22"/>
      <x:c r="K88" s="2"/>
      <x:c r="L88" s="2"/>
      <x:c r="M88" s="2"/>
      <x:c r="N88" s="2"/>
      <x:c r="O88" s="2"/>
      <x:c r="P88" s="2"/>
      <x:c r="Q88" s="2"/>
      <x:c r="R88" s="2" t="str">
        <x:f>IFERROR(VLOOKUP($Q88,'Model Scores'!$A$2:$D$100,2,FALSE),70)</x:f>
      </x:c>
      <x:c r="S88" s="2" t="str">
        <x:f>IFERROR(VLOOKUP($Q88,'Model Scores'!$A$2:$D$100,3,FALSE),60)</x:f>
      </x:c>
      <x:c r="T88" s="2" t="str">
        <x:f>IF($C88="","",Inputs!$B$12-$C88)</x:f>
      </x:c>
      <x:c r="U88" s="24" t="str">
        <x:f>IF($H88="","",Inputs!$B$7+IF($C88&lt;=2016,Inputs!$B$8,0)+IF($I88&gt;100000,Inputs!$B$9,0)+IF($I88&gt;120000,Inputs!$B$10,0)+IF($I88&gt;150000,Inputs!$B$11,0))</x:f>
      </x:c>
      <x:c r="V88" s="20" t="str">
        <x:f>IF($H88="","",$H88*(1+Inputs!$B$3)+Inputs!$B$4)</x:f>
      </x:c>
      <x:c r="W88" s="20" t="str">
        <x:f>IF($V88="","",MAX(0,$V88-Inputs!$B$2))</x:f>
      </x:c>
      <x:c r="X88" s="20" t="str">
        <x:f>IF($W88="","",IF($U88=0,$W88/Inputs!$B$6,PMT($U88/12,Inputs!$B$6,-$W88)))</x:f>
      </x:c>
      <x:c r="Y88" s="26" t="str">
        <x:f>IF($X88="","",MAX(0,100-(MAX(0,$X88-Inputs!$B$5)*Inputs!$B$14)))</x:f>
      </x:c>
      <x:c r="Z88" s="26" t="str">
        <x:f>IF($I88="","",IF($I88&lt;=60000,0,IF($I88&lt;=90000,5,IF($I88&lt;=110000,12,IF($I88&lt;=130000,22,IF($I88&lt;=150000,35,50))))))</x:f>
      </x:c>
      <x:c r="AA88" s="26" t="str">
        <x:f>IF($T88="","",IF($T88&lt;=5,0,IF($T88&lt;=8,5,IF($T88&lt;=10,12,IF($T88&lt;=12,20,35)))))</x:f>
      </x:c>
      <x:c r="AB88" s="26" t="str">
        <x:f>IF($J88="","",($K88*18)+IF($L88&gt;=3,10,IF($L88=2,3,0))+IF($M88="Yes",5,0)+IF($N88="Yes",15,0)+IF($O88="Yes",50,0))</x:f>
      </x:c>
      <x:c r="AC88" s="26" t="str">
        <x:f>IF($U88="","",IF($U88&gt;=0.11,20,IF($U88&gt;=0.09,12,IF($U88&gt;=0.075,6,0))))</x:f>
      </x:c>
      <x:c r="AD88" s="26" t="str">
        <x:f>IF($H88="","",ROUND(($R88*0.25)+($S88*0.20)+($Y88*0.25)+((100-$Z88-$AA88-$AB88-$AC88)*0.30),1))</x:f>
      </x:c>
      <x:c r="AE88" s="2" t="str">
        <x:f>IF($AD88="","",IF($O88="Yes","SKIP - title issue",IF($X88&gt;Inputs!$B$5,"OVER BUDGET",IF($AD88&gt;=82,"BUY",IF($AD88&gt;=70,"MAYBE","SKIP")))))</x:f>
      </x:c>
      <x:c r="AF88" s="2"/>
    </x:row>
    <x:row r="89">
      <x:c r="A89" s="2" t="str">
        <x:f>IF($AD89="","",COUNTIF($AD$2:$AD$101,"&gt;"&amp;$AD89)+COUNTIFS($AD$2:$AD89,$AD89))</x:f>
      </x:c>
      <x:c r="B89" s="2"/>
      <x:c r="C89" s="2"/>
      <x:c r="D89" s="2"/>
      <x:c r="E89" s="2"/>
      <x:c r="F89" s="2"/>
      <x:c r="G89" s="2"/>
      <x:c r="H89" s="20"/>
      <x:c r="I89" s="22"/>
      <x:c r="J89" s="22"/>
      <x:c r="K89" s="2"/>
      <x:c r="L89" s="2"/>
      <x:c r="M89" s="2"/>
      <x:c r="N89" s="2"/>
      <x:c r="O89" s="2"/>
      <x:c r="P89" s="2"/>
      <x:c r="Q89" s="2"/>
      <x:c r="R89" s="2" t="str">
        <x:f>IFERROR(VLOOKUP($Q89,'Model Scores'!$A$2:$D$100,2,FALSE),70)</x:f>
      </x:c>
      <x:c r="S89" s="2" t="str">
        <x:f>IFERROR(VLOOKUP($Q89,'Model Scores'!$A$2:$D$100,3,FALSE),60)</x:f>
      </x:c>
      <x:c r="T89" s="2" t="str">
        <x:f>IF($C89="","",Inputs!$B$12-$C89)</x:f>
      </x:c>
      <x:c r="U89" s="24" t="str">
        <x:f>IF($H89="","",Inputs!$B$7+IF($C89&lt;=2016,Inputs!$B$8,0)+IF($I89&gt;100000,Inputs!$B$9,0)+IF($I89&gt;120000,Inputs!$B$10,0)+IF($I89&gt;150000,Inputs!$B$11,0))</x:f>
      </x:c>
      <x:c r="V89" s="20" t="str">
        <x:f>IF($H89="","",$H89*(1+Inputs!$B$3)+Inputs!$B$4)</x:f>
      </x:c>
      <x:c r="W89" s="20" t="str">
        <x:f>IF($V89="","",MAX(0,$V89-Inputs!$B$2))</x:f>
      </x:c>
      <x:c r="X89" s="20" t="str">
        <x:f>IF($W89="","",IF($U89=0,$W89/Inputs!$B$6,PMT($U89/12,Inputs!$B$6,-$W89)))</x:f>
      </x:c>
      <x:c r="Y89" s="26" t="str">
        <x:f>IF($X89="","",MAX(0,100-(MAX(0,$X89-Inputs!$B$5)*Inputs!$B$14)))</x:f>
      </x:c>
      <x:c r="Z89" s="26" t="str">
        <x:f>IF($I89="","",IF($I89&lt;=60000,0,IF($I89&lt;=90000,5,IF($I89&lt;=110000,12,IF($I89&lt;=130000,22,IF($I89&lt;=150000,35,50))))))</x:f>
      </x:c>
      <x:c r="AA89" s="26" t="str">
        <x:f>IF($T89="","",IF($T89&lt;=5,0,IF($T89&lt;=8,5,IF($T89&lt;=10,12,IF($T89&lt;=12,20,35)))))</x:f>
      </x:c>
      <x:c r="AB89" s="26" t="str">
        <x:f>IF($J89="","",($K89*18)+IF($L89&gt;=3,10,IF($L89=2,3,0))+IF($M89="Yes",5,0)+IF($N89="Yes",15,0)+IF($O89="Yes",50,0))</x:f>
      </x:c>
      <x:c r="AC89" s="26" t="str">
        <x:f>IF($U89="","",IF($U89&gt;=0.11,20,IF($U89&gt;=0.09,12,IF($U89&gt;=0.075,6,0))))</x:f>
      </x:c>
      <x:c r="AD89" s="26" t="str">
        <x:f>IF($H89="","",ROUND(($R89*0.25)+($S89*0.20)+($Y89*0.25)+((100-$Z89-$AA89-$AB89-$AC89)*0.30),1))</x:f>
      </x:c>
      <x:c r="AE89" s="2" t="str">
        <x:f>IF($AD89="","",IF($O89="Yes","SKIP - title issue",IF($X89&gt;Inputs!$B$5,"OVER BUDGET",IF($AD89&gt;=82,"BUY",IF($AD89&gt;=70,"MAYBE","SKIP")))))</x:f>
      </x:c>
      <x:c r="AF89" s="2"/>
    </x:row>
    <x:row r="90">
      <x:c r="A90" s="2" t="str">
        <x:f>IF($AD90="","",COUNTIF($AD$2:$AD$101,"&gt;"&amp;$AD90)+COUNTIFS($AD$2:$AD90,$AD90))</x:f>
      </x:c>
      <x:c r="B90" s="2"/>
      <x:c r="C90" s="2"/>
      <x:c r="D90" s="2"/>
      <x:c r="E90" s="2"/>
      <x:c r="F90" s="2"/>
      <x:c r="G90" s="2"/>
      <x:c r="H90" s="20"/>
      <x:c r="I90" s="22"/>
      <x:c r="J90" s="22"/>
      <x:c r="K90" s="2"/>
      <x:c r="L90" s="2"/>
      <x:c r="M90" s="2"/>
      <x:c r="N90" s="2"/>
      <x:c r="O90" s="2"/>
      <x:c r="P90" s="2"/>
      <x:c r="Q90" s="2"/>
      <x:c r="R90" s="2" t="str">
        <x:f>IFERROR(VLOOKUP($Q90,'Model Scores'!$A$2:$D$100,2,FALSE),70)</x:f>
      </x:c>
      <x:c r="S90" s="2" t="str">
        <x:f>IFERROR(VLOOKUP($Q90,'Model Scores'!$A$2:$D$100,3,FALSE),60)</x:f>
      </x:c>
      <x:c r="T90" s="2" t="str">
        <x:f>IF($C90="","",Inputs!$B$12-$C90)</x:f>
      </x:c>
      <x:c r="U90" s="24" t="str">
        <x:f>IF($H90="","",Inputs!$B$7+IF($C90&lt;=2016,Inputs!$B$8,0)+IF($I90&gt;100000,Inputs!$B$9,0)+IF($I90&gt;120000,Inputs!$B$10,0)+IF($I90&gt;150000,Inputs!$B$11,0))</x:f>
      </x:c>
      <x:c r="V90" s="20" t="str">
        <x:f>IF($H90="","",$H90*(1+Inputs!$B$3)+Inputs!$B$4)</x:f>
      </x:c>
      <x:c r="W90" s="20" t="str">
        <x:f>IF($V90="","",MAX(0,$V90-Inputs!$B$2))</x:f>
      </x:c>
      <x:c r="X90" s="20" t="str">
        <x:f>IF($W90="","",IF($U90=0,$W90/Inputs!$B$6,PMT($U90/12,Inputs!$B$6,-$W90)))</x:f>
      </x:c>
      <x:c r="Y90" s="26" t="str">
        <x:f>IF($X90="","",MAX(0,100-(MAX(0,$X90-Inputs!$B$5)*Inputs!$B$14)))</x:f>
      </x:c>
      <x:c r="Z90" s="26" t="str">
        <x:f>IF($I90="","",IF($I90&lt;=60000,0,IF($I90&lt;=90000,5,IF($I90&lt;=110000,12,IF($I90&lt;=130000,22,IF($I90&lt;=150000,35,50))))))</x:f>
      </x:c>
      <x:c r="AA90" s="26" t="str">
        <x:f>IF($T90="","",IF($T90&lt;=5,0,IF($T90&lt;=8,5,IF($T90&lt;=10,12,IF($T90&lt;=12,20,35)))))</x:f>
      </x:c>
      <x:c r="AB90" s="26" t="str">
        <x:f>IF($J90="","",($K90*18)+IF($L90&gt;=3,10,IF($L90=2,3,0))+IF($M90="Yes",5,0)+IF($N90="Yes",15,0)+IF($O90="Yes",50,0))</x:f>
      </x:c>
      <x:c r="AC90" s="26" t="str">
        <x:f>IF($U90="","",IF($U90&gt;=0.11,20,IF($U90&gt;=0.09,12,IF($U90&gt;=0.075,6,0))))</x:f>
      </x:c>
      <x:c r="AD90" s="26" t="str">
        <x:f>IF($H90="","",ROUND(($R90*0.25)+($S90*0.20)+($Y90*0.25)+((100-$Z90-$AA90-$AB90-$AC90)*0.30),1))</x:f>
      </x:c>
      <x:c r="AE90" s="2" t="str">
        <x:f>IF($AD90="","",IF($O90="Yes","SKIP - title issue",IF($X90&gt;Inputs!$B$5,"OVER BUDGET",IF($AD90&gt;=82,"BUY",IF($AD90&gt;=70,"MAYBE","SKIP")))))</x:f>
      </x:c>
      <x:c r="AF90" s="2"/>
    </x:row>
    <x:row r="91">
      <x:c r="A91" s="2" t="str">
        <x:f>IF($AD91="","",COUNTIF($AD$2:$AD$101,"&gt;"&amp;$AD91)+COUNTIFS($AD$2:$AD91,$AD91))</x:f>
      </x:c>
      <x:c r="B91" s="2"/>
      <x:c r="C91" s="2"/>
      <x:c r="D91" s="2"/>
      <x:c r="E91" s="2"/>
      <x:c r="F91" s="2"/>
      <x:c r="G91" s="2"/>
      <x:c r="H91" s="20"/>
      <x:c r="I91" s="22"/>
      <x:c r="J91" s="22"/>
      <x:c r="K91" s="2"/>
      <x:c r="L91" s="2"/>
      <x:c r="M91" s="2"/>
      <x:c r="N91" s="2"/>
      <x:c r="O91" s="2"/>
      <x:c r="P91" s="2"/>
      <x:c r="Q91" s="2"/>
      <x:c r="R91" s="2" t="str">
        <x:f>IFERROR(VLOOKUP($Q91,'Model Scores'!$A$2:$D$100,2,FALSE),70)</x:f>
      </x:c>
      <x:c r="S91" s="2" t="str">
        <x:f>IFERROR(VLOOKUP($Q91,'Model Scores'!$A$2:$D$100,3,FALSE),60)</x:f>
      </x:c>
      <x:c r="T91" s="2" t="str">
        <x:f>IF($C91="","",Inputs!$B$12-$C91)</x:f>
      </x:c>
      <x:c r="U91" s="24" t="str">
        <x:f>IF($H91="","",Inputs!$B$7+IF($C91&lt;=2016,Inputs!$B$8,0)+IF($I91&gt;100000,Inputs!$B$9,0)+IF($I91&gt;120000,Inputs!$B$10,0)+IF($I91&gt;150000,Inputs!$B$11,0))</x:f>
      </x:c>
      <x:c r="V91" s="20" t="str">
        <x:f>IF($H91="","",$H91*(1+Inputs!$B$3)+Inputs!$B$4)</x:f>
      </x:c>
      <x:c r="W91" s="20" t="str">
        <x:f>IF($V91="","",MAX(0,$V91-Inputs!$B$2))</x:f>
      </x:c>
      <x:c r="X91" s="20" t="str">
        <x:f>IF($W91="","",IF($U91=0,$W91/Inputs!$B$6,PMT($U91/12,Inputs!$B$6,-$W91)))</x:f>
      </x:c>
      <x:c r="Y91" s="26" t="str">
        <x:f>IF($X91="","",MAX(0,100-(MAX(0,$X91-Inputs!$B$5)*Inputs!$B$14)))</x:f>
      </x:c>
      <x:c r="Z91" s="26" t="str">
        <x:f>IF($I91="","",IF($I91&lt;=60000,0,IF($I91&lt;=90000,5,IF($I91&lt;=110000,12,IF($I91&lt;=130000,22,IF($I91&lt;=150000,35,50))))))</x:f>
      </x:c>
      <x:c r="AA91" s="26" t="str">
        <x:f>IF($T91="","",IF($T91&lt;=5,0,IF($T91&lt;=8,5,IF($T91&lt;=10,12,IF($T91&lt;=12,20,35)))))</x:f>
      </x:c>
      <x:c r="AB91" s="26" t="str">
        <x:f>IF($J91="","",($K91*18)+IF($L91&gt;=3,10,IF($L91=2,3,0))+IF($M91="Yes",5,0)+IF($N91="Yes",15,0)+IF($O91="Yes",50,0))</x:f>
      </x:c>
      <x:c r="AC91" s="26" t="str">
        <x:f>IF($U91="","",IF($U91&gt;=0.11,20,IF($U91&gt;=0.09,12,IF($U91&gt;=0.075,6,0))))</x:f>
      </x:c>
      <x:c r="AD91" s="26" t="str">
        <x:f>IF($H91="","",ROUND(($R91*0.25)+($S91*0.20)+($Y91*0.25)+((100-$Z91-$AA91-$AB91-$AC91)*0.30),1))</x:f>
      </x:c>
      <x:c r="AE91" s="2" t="str">
        <x:f>IF($AD91="","",IF($O91="Yes","SKIP - title issue",IF($X91&gt;Inputs!$B$5,"OVER BUDGET",IF($AD91&gt;=82,"BUY",IF($AD91&gt;=70,"MAYBE","SKIP")))))</x:f>
      </x:c>
      <x:c r="AF91" s="2"/>
    </x:row>
    <x:row r="92">
      <x:c r="A92" s="2" t="str">
        <x:f>IF($AD92="","",COUNTIF($AD$2:$AD$101,"&gt;"&amp;$AD92)+COUNTIFS($AD$2:$AD92,$AD92))</x:f>
      </x:c>
      <x:c r="B92" s="2"/>
      <x:c r="C92" s="2"/>
      <x:c r="D92" s="2"/>
      <x:c r="E92" s="2"/>
      <x:c r="F92" s="2"/>
      <x:c r="G92" s="2"/>
      <x:c r="H92" s="20"/>
      <x:c r="I92" s="22"/>
      <x:c r="J92" s="22"/>
      <x:c r="K92" s="2"/>
      <x:c r="L92" s="2"/>
      <x:c r="M92" s="2"/>
      <x:c r="N92" s="2"/>
      <x:c r="O92" s="2"/>
      <x:c r="P92" s="2"/>
      <x:c r="Q92" s="2"/>
      <x:c r="R92" s="2" t="str">
        <x:f>IFERROR(VLOOKUP($Q92,'Model Scores'!$A$2:$D$100,2,FALSE),70)</x:f>
      </x:c>
      <x:c r="S92" s="2" t="str">
        <x:f>IFERROR(VLOOKUP($Q92,'Model Scores'!$A$2:$D$100,3,FALSE),60)</x:f>
      </x:c>
      <x:c r="T92" s="2" t="str">
        <x:f>IF($C92="","",Inputs!$B$12-$C92)</x:f>
      </x:c>
      <x:c r="U92" s="24" t="str">
        <x:f>IF($H92="","",Inputs!$B$7+IF($C92&lt;=2016,Inputs!$B$8,0)+IF($I92&gt;100000,Inputs!$B$9,0)+IF($I92&gt;120000,Inputs!$B$10,0)+IF($I92&gt;150000,Inputs!$B$11,0))</x:f>
      </x:c>
      <x:c r="V92" s="20" t="str">
        <x:f>IF($H92="","",$H92*(1+Inputs!$B$3)+Inputs!$B$4)</x:f>
      </x:c>
      <x:c r="W92" s="20" t="str">
        <x:f>IF($V92="","",MAX(0,$V92-Inputs!$B$2))</x:f>
      </x:c>
      <x:c r="X92" s="20" t="str">
        <x:f>IF($W92="","",IF($U92=0,$W92/Inputs!$B$6,PMT($U92/12,Inputs!$B$6,-$W92)))</x:f>
      </x:c>
      <x:c r="Y92" s="26" t="str">
        <x:f>IF($X92="","",MAX(0,100-(MAX(0,$X92-Inputs!$B$5)*Inputs!$B$14)))</x:f>
      </x:c>
      <x:c r="Z92" s="26" t="str">
        <x:f>IF($I92="","",IF($I92&lt;=60000,0,IF($I92&lt;=90000,5,IF($I92&lt;=110000,12,IF($I92&lt;=130000,22,IF($I92&lt;=150000,35,50))))))</x:f>
      </x:c>
      <x:c r="AA92" s="26" t="str">
        <x:f>IF($T92="","",IF($T92&lt;=5,0,IF($T92&lt;=8,5,IF($T92&lt;=10,12,IF($T92&lt;=12,20,35)))))</x:f>
      </x:c>
      <x:c r="AB92" s="26" t="str">
        <x:f>IF($J92="","",($K92*18)+IF($L92&gt;=3,10,IF($L92=2,3,0))+IF($M92="Yes",5,0)+IF($N92="Yes",15,0)+IF($O92="Yes",50,0))</x:f>
      </x:c>
      <x:c r="AC92" s="26" t="str">
        <x:f>IF($U92="","",IF($U92&gt;=0.11,20,IF($U92&gt;=0.09,12,IF($U92&gt;=0.075,6,0))))</x:f>
      </x:c>
      <x:c r="AD92" s="26" t="str">
        <x:f>IF($H92="","",ROUND(($R92*0.25)+($S92*0.20)+($Y92*0.25)+((100-$Z92-$AA92-$AB92-$AC92)*0.30),1))</x:f>
      </x:c>
      <x:c r="AE92" s="2" t="str">
        <x:f>IF($AD92="","",IF($O92="Yes","SKIP - title issue",IF($X92&gt;Inputs!$B$5,"OVER BUDGET",IF($AD92&gt;=82,"BUY",IF($AD92&gt;=70,"MAYBE","SKIP")))))</x:f>
      </x:c>
      <x:c r="AF92" s="2"/>
    </x:row>
    <x:row r="93">
      <x:c r="A93" s="2" t="str">
        <x:f>IF($AD93="","",COUNTIF($AD$2:$AD$101,"&gt;"&amp;$AD93)+COUNTIFS($AD$2:$AD93,$AD93))</x:f>
      </x:c>
      <x:c r="B93" s="2"/>
      <x:c r="C93" s="2"/>
      <x:c r="D93" s="2"/>
      <x:c r="E93" s="2"/>
      <x:c r="F93" s="2"/>
      <x:c r="G93" s="2"/>
      <x:c r="H93" s="20"/>
      <x:c r="I93" s="22"/>
      <x:c r="J93" s="22"/>
      <x:c r="K93" s="2"/>
      <x:c r="L93" s="2"/>
      <x:c r="M93" s="2"/>
      <x:c r="N93" s="2"/>
      <x:c r="O93" s="2"/>
      <x:c r="P93" s="2"/>
      <x:c r="Q93" s="2"/>
      <x:c r="R93" s="2" t="str">
        <x:f>IFERROR(VLOOKUP($Q93,'Model Scores'!$A$2:$D$100,2,FALSE),70)</x:f>
      </x:c>
      <x:c r="S93" s="2" t="str">
        <x:f>IFERROR(VLOOKUP($Q93,'Model Scores'!$A$2:$D$100,3,FALSE),60)</x:f>
      </x:c>
      <x:c r="T93" s="2" t="str">
        <x:f>IF($C93="","",Inputs!$B$12-$C93)</x:f>
      </x:c>
      <x:c r="U93" s="24" t="str">
        <x:f>IF($H93="","",Inputs!$B$7+IF($C93&lt;=2016,Inputs!$B$8,0)+IF($I93&gt;100000,Inputs!$B$9,0)+IF($I93&gt;120000,Inputs!$B$10,0)+IF($I93&gt;150000,Inputs!$B$11,0))</x:f>
      </x:c>
      <x:c r="V93" s="20" t="str">
        <x:f>IF($H93="","",$H93*(1+Inputs!$B$3)+Inputs!$B$4)</x:f>
      </x:c>
      <x:c r="W93" s="20" t="str">
        <x:f>IF($V93="","",MAX(0,$V93-Inputs!$B$2))</x:f>
      </x:c>
      <x:c r="X93" s="20" t="str">
        <x:f>IF($W93="","",IF($U93=0,$W93/Inputs!$B$6,PMT($U93/12,Inputs!$B$6,-$W93)))</x:f>
      </x:c>
      <x:c r="Y93" s="26" t="str">
        <x:f>IF($X93="","",MAX(0,100-(MAX(0,$X93-Inputs!$B$5)*Inputs!$B$14)))</x:f>
      </x:c>
      <x:c r="Z93" s="26" t="str">
        <x:f>IF($I93="","",IF($I93&lt;=60000,0,IF($I93&lt;=90000,5,IF($I93&lt;=110000,12,IF($I93&lt;=130000,22,IF($I93&lt;=150000,35,50))))))</x:f>
      </x:c>
      <x:c r="AA93" s="26" t="str">
        <x:f>IF($T93="","",IF($T93&lt;=5,0,IF($T93&lt;=8,5,IF($T93&lt;=10,12,IF($T93&lt;=12,20,35)))))</x:f>
      </x:c>
      <x:c r="AB93" s="26" t="str">
        <x:f>IF($J93="","",($K93*18)+IF($L93&gt;=3,10,IF($L93=2,3,0))+IF($M93="Yes",5,0)+IF($N93="Yes",15,0)+IF($O93="Yes",50,0))</x:f>
      </x:c>
      <x:c r="AC93" s="26" t="str">
        <x:f>IF($U93="","",IF($U93&gt;=0.11,20,IF($U93&gt;=0.09,12,IF($U93&gt;=0.075,6,0))))</x:f>
      </x:c>
      <x:c r="AD93" s="26" t="str">
        <x:f>IF($H93="","",ROUND(($R93*0.25)+($S93*0.20)+($Y93*0.25)+((100-$Z93-$AA93-$AB93-$AC93)*0.30),1))</x:f>
      </x:c>
      <x:c r="AE93" s="2" t="str">
        <x:f>IF($AD93="","",IF($O93="Yes","SKIP - title issue",IF($X93&gt;Inputs!$B$5,"OVER BUDGET",IF($AD93&gt;=82,"BUY",IF($AD93&gt;=70,"MAYBE","SKIP")))))</x:f>
      </x:c>
      <x:c r="AF93" s="2"/>
    </x:row>
    <x:row r="94">
      <x:c r="A94" s="2" t="str">
        <x:f>IF($AD94="","",COUNTIF($AD$2:$AD$101,"&gt;"&amp;$AD94)+COUNTIFS($AD$2:$AD94,$AD94))</x:f>
      </x:c>
      <x:c r="B94" s="2"/>
      <x:c r="C94" s="2"/>
      <x:c r="D94" s="2"/>
      <x:c r="E94" s="2"/>
      <x:c r="F94" s="2"/>
      <x:c r="G94" s="2"/>
      <x:c r="H94" s="20"/>
      <x:c r="I94" s="22"/>
      <x:c r="J94" s="22"/>
      <x:c r="K94" s="2"/>
      <x:c r="L94" s="2"/>
      <x:c r="M94" s="2"/>
      <x:c r="N94" s="2"/>
      <x:c r="O94" s="2"/>
      <x:c r="P94" s="2"/>
      <x:c r="Q94" s="2"/>
      <x:c r="R94" s="2" t="str">
        <x:f>IFERROR(VLOOKUP($Q94,'Model Scores'!$A$2:$D$100,2,FALSE),70)</x:f>
      </x:c>
      <x:c r="S94" s="2" t="str">
        <x:f>IFERROR(VLOOKUP($Q94,'Model Scores'!$A$2:$D$100,3,FALSE),60)</x:f>
      </x:c>
      <x:c r="T94" s="2" t="str">
        <x:f>IF($C94="","",Inputs!$B$12-$C94)</x:f>
      </x:c>
      <x:c r="U94" s="24" t="str">
        <x:f>IF($H94="","",Inputs!$B$7+IF($C94&lt;=2016,Inputs!$B$8,0)+IF($I94&gt;100000,Inputs!$B$9,0)+IF($I94&gt;120000,Inputs!$B$10,0)+IF($I94&gt;150000,Inputs!$B$11,0))</x:f>
      </x:c>
      <x:c r="V94" s="20" t="str">
        <x:f>IF($H94="","",$H94*(1+Inputs!$B$3)+Inputs!$B$4)</x:f>
      </x:c>
      <x:c r="W94" s="20" t="str">
        <x:f>IF($V94="","",MAX(0,$V94-Inputs!$B$2))</x:f>
      </x:c>
      <x:c r="X94" s="20" t="str">
        <x:f>IF($W94="","",IF($U94=0,$W94/Inputs!$B$6,PMT($U94/12,Inputs!$B$6,-$W94)))</x:f>
      </x:c>
      <x:c r="Y94" s="26" t="str">
        <x:f>IF($X94="","",MAX(0,100-(MAX(0,$X94-Inputs!$B$5)*Inputs!$B$14)))</x:f>
      </x:c>
      <x:c r="Z94" s="26" t="str">
        <x:f>IF($I94="","",IF($I94&lt;=60000,0,IF($I94&lt;=90000,5,IF($I94&lt;=110000,12,IF($I94&lt;=130000,22,IF($I94&lt;=150000,35,50))))))</x:f>
      </x:c>
      <x:c r="AA94" s="26" t="str">
        <x:f>IF($T94="","",IF($T94&lt;=5,0,IF($T94&lt;=8,5,IF($T94&lt;=10,12,IF($T94&lt;=12,20,35)))))</x:f>
      </x:c>
      <x:c r="AB94" s="26" t="str">
        <x:f>IF($J94="","",($K94*18)+IF($L94&gt;=3,10,IF($L94=2,3,0))+IF($M94="Yes",5,0)+IF($N94="Yes",15,0)+IF($O94="Yes",50,0))</x:f>
      </x:c>
      <x:c r="AC94" s="26" t="str">
        <x:f>IF($U94="","",IF($U94&gt;=0.11,20,IF($U94&gt;=0.09,12,IF($U94&gt;=0.075,6,0))))</x:f>
      </x:c>
      <x:c r="AD94" s="26" t="str">
        <x:f>IF($H94="","",ROUND(($R94*0.25)+($S94*0.20)+($Y94*0.25)+((100-$Z94-$AA94-$AB94-$AC94)*0.30),1))</x:f>
      </x:c>
      <x:c r="AE94" s="2" t="str">
        <x:f>IF($AD94="","",IF($O94="Yes","SKIP - title issue",IF($X94&gt;Inputs!$B$5,"OVER BUDGET",IF($AD94&gt;=82,"BUY",IF($AD94&gt;=70,"MAYBE","SKIP")))))</x:f>
      </x:c>
      <x:c r="AF94" s="2"/>
    </x:row>
    <x:row r="95">
      <x:c r="A95" s="2" t="str">
        <x:f>IF($AD95="","",COUNTIF($AD$2:$AD$101,"&gt;"&amp;$AD95)+COUNTIFS($AD$2:$AD95,$AD95))</x:f>
      </x:c>
      <x:c r="B95" s="2"/>
      <x:c r="C95" s="2"/>
      <x:c r="D95" s="2"/>
      <x:c r="E95" s="2"/>
      <x:c r="F95" s="2"/>
      <x:c r="G95" s="2"/>
      <x:c r="H95" s="20"/>
      <x:c r="I95" s="22"/>
      <x:c r="J95" s="22"/>
      <x:c r="K95" s="2"/>
      <x:c r="L95" s="2"/>
      <x:c r="M95" s="2"/>
      <x:c r="N95" s="2"/>
      <x:c r="O95" s="2"/>
      <x:c r="P95" s="2"/>
      <x:c r="Q95" s="2"/>
      <x:c r="R95" s="2" t="str">
        <x:f>IFERROR(VLOOKUP($Q95,'Model Scores'!$A$2:$D$100,2,FALSE),70)</x:f>
      </x:c>
      <x:c r="S95" s="2" t="str">
        <x:f>IFERROR(VLOOKUP($Q95,'Model Scores'!$A$2:$D$100,3,FALSE),60)</x:f>
      </x:c>
      <x:c r="T95" s="2" t="str">
        <x:f>IF($C95="","",Inputs!$B$12-$C95)</x:f>
      </x:c>
      <x:c r="U95" s="24" t="str">
        <x:f>IF($H95="","",Inputs!$B$7+IF($C95&lt;=2016,Inputs!$B$8,0)+IF($I95&gt;100000,Inputs!$B$9,0)+IF($I95&gt;120000,Inputs!$B$10,0)+IF($I95&gt;150000,Inputs!$B$11,0))</x:f>
      </x:c>
      <x:c r="V95" s="20" t="str">
        <x:f>IF($H95="","",$H95*(1+Inputs!$B$3)+Inputs!$B$4)</x:f>
      </x:c>
      <x:c r="W95" s="20" t="str">
        <x:f>IF($V95="","",MAX(0,$V95-Inputs!$B$2))</x:f>
      </x:c>
      <x:c r="X95" s="20" t="str">
        <x:f>IF($W95="","",IF($U95=0,$W95/Inputs!$B$6,PMT($U95/12,Inputs!$B$6,-$W95)))</x:f>
      </x:c>
      <x:c r="Y95" s="26" t="str">
        <x:f>IF($X95="","",MAX(0,100-(MAX(0,$X95-Inputs!$B$5)*Inputs!$B$14)))</x:f>
      </x:c>
      <x:c r="Z95" s="26" t="str">
        <x:f>IF($I95="","",IF($I95&lt;=60000,0,IF($I95&lt;=90000,5,IF($I95&lt;=110000,12,IF($I95&lt;=130000,22,IF($I95&lt;=150000,35,50))))))</x:f>
      </x:c>
      <x:c r="AA95" s="26" t="str">
        <x:f>IF($T95="","",IF($T95&lt;=5,0,IF($T95&lt;=8,5,IF($T95&lt;=10,12,IF($T95&lt;=12,20,35)))))</x:f>
      </x:c>
      <x:c r="AB95" s="26" t="str">
        <x:f>IF($J95="","",($K95*18)+IF($L95&gt;=3,10,IF($L95=2,3,0))+IF($M95="Yes",5,0)+IF($N95="Yes",15,0)+IF($O95="Yes",50,0))</x:f>
      </x:c>
      <x:c r="AC95" s="26" t="str">
        <x:f>IF($U95="","",IF($U95&gt;=0.11,20,IF($U95&gt;=0.09,12,IF($U95&gt;=0.075,6,0))))</x:f>
      </x:c>
      <x:c r="AD95" s="26" t="str">
        <x:f>IF($H95="","",ROUND(($R95*0.25)+($S95*0.20)+($Y95*0.25)+((100-$Z95-$AA95-$AB95-$AC95)*0.30),1))</x:f>
      </x:c>
      <x:c r="AE95" s="2" t="str">
        <x:f>IF($AD95="","",IF($O95="Yes","SKIP - title issue",IF($X95&gt;Inputs!$B$5,"OVER BUDGET",IF($AD95&gt;=82,"BUY",IF($AD95&gt;=70,"MAYBE","SKIP")))))</x:f>
      </x:c>
      <x:c r="AF95" s="2"/>
    </x:row>
    <x:row r="96">
      <x:c r="A96" s="2" t="str">
        <x:f>IF($AD96="","",COUNTIF($AD$2:$AD$101,"&gt;"&amp;$AD96)+COUNTIFS($AD$2:$AD96,$AD96))</x:f>
      </x:c>
      <x:c r="B96" s="2"/>
      <x:c r="C96" s="2"/>
      <x:c r="D96" s="2"/>
      <x:c r="E96" s="2"/>
      <x:c r="F96" s="2"/>
      <x:c r="G96" s="2"/>
      <x:c r="H96" s="20"/>
      <x:c r="I96" s="22"/>
      <x:c r="J96" s="22"/>
      <x:c r="K96" s="2"/>
      <x:c r="L96" s="2"/>
      <x:c r="M96" s="2"/>
      <x:c r="N96" s="2"/>
      <x:c r="O96" s="2"/>
      <x:c r="P96" s="2"/>
      <x:c r="Q96" s="2"/>
      <x:c r="R96" s="2" t="str">
        <x:f>IFERROR(VLOOKUP($Q96,'Model Scores'!$A$2:$D$100,2,FALSE),70)</x:f>
      </x:c>
      <x:c r="S96" s="2" t="str">
        <x:f>IFERROR(VLOOKUP($Q96,'Model Scores'!$A$2:$D$100,3,FALSE),60)</x:f>
      </x:c>
      <x:c r="T96" s="2" t="str">
        <x:f>IF($C96="","",Inputs!$B$12-$C96)</x:f>
      </x:c>
      <x:c r="U96" s="24" t="str">
        <x:f>IF($H96="","",Inputs!$B$7+IF($C96&lt;=2016,Inputs!$B$8,0)+IF($I96&gt;100000,Inputs!$B$9,0)+IF($I96&gt;120000,Inputs!$B$10,0)+IF($I96&gt;150000,Inputs!$B$11,0))</x:f>
      </x:c>
      <x:c r="V96" s="20" t="str">
        <x:f>IF($H96="","",$H96*(1+Inputs!$B$3)+Inputs!$B$4)</x:f>
      </x:c>
      <x:c r="W96" s="20" t="str">
        <x:f>IF($V96="","",MAX(0,$V96-Inputs!$B$2))</x:f>
      </x:c>
      <x:c r="X96" s="20" t="str">
        <x:f>IF($W96="","",IF($U96=0,$W96/Inputs!$B$6,PMT($U96/12,Inputs!$B$6,-$W96)))</x:f>
      </x:c>
      <x:c r="Y96" s="26" t="str">
        <x:f>IF($X96="","",MAX(0,100-(MAX(0,$X96-Inputs!$B$5)*Inputs!$B$14)))</x:f>
      </x:c>
      <x:c r="Z96" s="26" t="str">
        <x:f>IF($I96="","",IF($I96&lt;=60000,0,IF($I96&lt;=90000,5,IF($I96&lt;=110000,12,IF($I96&lt;=130000,22,IF($I96&lt;=150000,35,50))))))</x:f>
      </x:c>
      <x:c r="AA96" s="26" t="str">
        <x:f>IF($T96="","",IF($T96&lt;=5,0,IF($T96&lt;=8,5,IF($T96&lt;=10,12,IF($T96&lt;=12,20,35)))))</x:f>
      </x:c>
      <x:c r="AB96" s="26" t="str">
        <x:f>IF($J96="","",($K96*18)+IF($L96&gt;=3,10,IF($L96=2,3,0))+IF($M96="Yes",5,0)+IF($N96="Yes",15,0)+IF($O96="Yes",50,0))</x:f>
      </x:c>
      <x:c r="AC96" s="26" t="str">
        <x:f>IF($U96="","",IF($U96&gt;=0.11,20,IF($U96&gt;=0.09,12,IF($U96&gt;=0.075,6,0))))</x:f>
      </x:c>
      <x:c r="AD96" s="26" t="str">
        <x:f>IF($H96="","",ROUND(($R96*0.25)+($S96*0.20)+($Y96*0.25)+((100-$Z96-$AA96-$AB96-$AC96)*0.30),1))</x:f>
      </x:c>
      <x:c r="AE96" s="2" t="str">
        <x:f>IF($AD96="","",IF($O96="Yes","SKIP - title issue",IF($X96&gt;Inputs!$B$5,"OVER BUDGET",IF($AD96&gt;=82,"BUY",IF($AD96&gt;=70,"MAYBE","SKIP")))))</x:f>
      </x:c>
      <x:c r="AF96" s="2"/>
    </x:row>
    <x:row r="97">
      <x:c r="A97" s="2" t="str">
        <x:f>IF($AD97="","",COUNTIF($AD$2:$AD$101,"&gt;"&amp;$AD97)+COUNTIFS($AD$2:$AD97,$AD97))</x:f>
      </x:c>
      <x:c r="B97" s="2"/>
      <x:c r="C97" s="2"/>
      <x:c r="D97" s="2"/>
      <x:c r="E97" s="2"/>
      <x:c r="F97" s="2"/>
      <x:c r="G97" s="2"/>
      <x:c r="H97" s="20"/>
      <x:c r="I97" s="22"/>
      <x:c r="J97" s="22"/>
      <x:c r="K97" s="2"/>
      <x:c r="L97" s="2"/>
      <x:c r="M97" s="2"/>
      <x:c r="N97" s="2"/>
      <x:c r="O97" s="2"/>
      <x:c r="P97" s="2"/>
      <x:c r="Q97" s="2"/>
      <x:c r="R97" s="2" t="str">
        <x:f>IFERROR(VLOOKUP($Q97,'Model Scores'!$A$2:$D$100,2,FALSE),70)</x:f>
      </x:c>
      <x:c r="S97" s="2" t="str">
        <x:f>IFERROR(VLOOKUP($Q97,'Model Scores'!$A$2:$D$100,3,FALSE),60)</x:f>
      </x:c>
      <x:c r="T97" s="2" t="str">
        <x:f>IF($C97="","",Inputs!$B$12-$C97)</x:f>
      </x:c>
      <x:c r="U97" s="24" t="str">
        <x:f>IF($H97="","",Inputs!$B$7+IF($C97&lt;=2016,Inputs!$B$8,0)+IF($I97&gt;100000,Inputs!$B$9,0)+IF($I97&gt;120000,Inputs!$B$10,0)+IF($I97&gt;150000,Inputs!$B$11,0))</x:f>
      </x:c>
      <x:c r="V97" s="20" t="str">
        <x:f>IF($H97="","",$H97*(1+Inputs!$B$3)+Inputs!$B$4)</x:f>
      </x:c>
      <x:c r="W97" s="20" t="str">
        <x:f>IF($V97="","",MAX(0,$V97-Inputs!$B$2))</x:f>
      </x:c>
      <x:c r="X97" s="20" t="str">
        <x:f>IF($W97="","",IF($U97=0,$W97/Inputs!$B$6,PMT($U97/12,Inputs!$B$6,-$W97)))</x:f>
      </x:c>
      <x:c r="Y97" s="26" t="str">
        <x:f>IF($X97="","",MAX(0,100-(MAX(0,$X97-Inputs!$B$5)*Inputs!$B$14)))</x:f>
      </x:c>
      <x:c r="Z97" s="26" t="str">
        <x:f>IF($I97="","",IF($I97&lt;=60000,0,IF($I97&lt;=90000,5,IF($I97&lt;=110000,12,IF($I97&lt;=130000,22,IF($I97&lt;=150000,35,50))))))</x:f>
      </x:c>
      <x:c r="AA97" s="26" t="str">
        <x:f>IF($T97="","",IF($T97&lt;=5,0,IF($T97&lt;=8,5,IF($T97&lt;=10,12,IF($T97&lt;=12,20,35)))))</x:f>
      </x:c>
      <x:c r="AB97" s="26" t="str">
        <x:f>IF($J97="","",($K97*18)+IF($L97&gt;=3,10,IF($L97=2,3,0))+IF($M97="Yes",5,0)+IF($N97="Yes",15,0)+IF($O97="Yes",50,0))</x:f>
      </x:c>
      <x:c r="AC97" s="26" t="str">
        <x:f>IF($U97="","",IF($U97&gt;=0.11,20,IF($U97&gt;=0.09,12,IF($U97&gt;=0.075,6,0))))</x:f>
      </x:c>
      <x:c r="AD97" s="26" t="str">
        <x:f>IF($H97="","",ROUND(($R97*0.25)+($S97*0.20)+($Y97*0.25)+((100-$Z97-$AA97-$AB97-$AC97)*0.30),1))</x:f>
      </x:c>
      <x:c r="AE97" s="2" t="str">
        <x:f>IF($AD97="","",IF($O97="Yes","SKIP - title issue",IF($X97&gt;Inputs!$B$5,"OVER BUDGET",IF($AD97&gt;=82,"BUY",IF($AD97&gt;=70,"MAYBE","SKIP")))))</x:f>
      </x:c>
      <x:c r="AF97" s="2"/>
    </x:row>
    <x:row r="98">
      <x:c r="A98" s="2" t="str">
        <x:f>IF($AD98="","",COUNTIF($AD$2:$AD$101,"&gt;"&amp;$AD98)+COUNTIFS($AD$2:$AD98,$AD98))</x:f>
      </x:c>
      <x:c r="B98" s="2"/>
      <x:c r="C98" s="2"/>
      <x:c r="D98" s="2"/>
      <x:c r="E98" s="2"/>
      <x:c r="F98" s="2"/>
      <x:c r="G98" s="2"/>
      <x:c r="H98" s="20"/>
      <x:c r="I98" s="22"/>
      <x:c r="J98" s="22"/>
      <x:c r="K98" s="2"/>
      <x:c r="L98" s="2"/>
      <x:c r="M98" s="2"/>
      <x:c r="N98" s="2"/>
      <x:c r="O98" s="2"/>
      <x:c r="P98" s="2"/>
      <x:c r="Q98" s="2"/>
      <x:c r="R98" s="2" t="str">
        <x:f>IFERROR(VLOOKUP($Q98,'Model Scores'!$A$2:$D$100,2,FALSE),70)</x:f>
      </x:c>
      <x:c r="S98" s="2" t="str">
        <x:f>IFERROR(VLOOKUP($Q98,'Model Scores'!$A$2:$D$100,3,FALSE),60)</x:f>
      </x:c>
      <x:c r="T98" s="2" t="str">
        <x:f>IF($C98="","",Inputs!$B$12-$C98)</x:f>
      </x:c>
      <x:c r="U98" s="24" t="str">
        <x:f>IF($H98="","",Inputs!$B$7+IF($C98&lt;=2016,Inputs!$B$8,0)+IF($I98&gt;100000,Inputs!$B$9,0)+IF($I98&gt;120000,Inputs!$B$10,0)+IF($I98&gt;150000,Inputs!$B$11,0))</x:f>
      </x:c>
      <x:c r="V98" s="20" t="str">
        <x:f>IF($H98="","",$H98*(1+Inputs!$B$3)+Inputs!$B$4)</x:f>
      </x:c>
      <x:c r="W98" s="20" t="str">
        <x:f>IF($V98="","",MAX(0,$V98-Inputs!$B$2))</x:f>
      </x:c>
      <x:c r="X98" s="20" t="str">
        <x:f>IF($W98="","",IF($U98=0,$W98/Inputs!$B$6,PMT($U98/12,Inputs!$B$6,-$W98)))</x:f>
      </x:c>
      <x:c r="Y98" s="26" t="str">
        <x:f>IF($X98="","",MAX(0,100-(MAX(0,$X98-Inputs!$B$5)*Inputs!$B$14)))</x:f>
      </x:c>
      <x:c r="Z98" s="26" t="str">
        <x:f>IF($I98="","",IF($I98&lt;=60000,0,IF($I98&lt;=90000,5,IF($I98&lt;=110000,12,IF($I98&lt;=130000,22,IF($I98&lt;=150000,35,50))))))</x:f>
      </x:c>
      <x:c r="AA98" s="26" t="str">
        <x:f>IF($T98="","",IF($T98&lt;=5,0,IF($T98&lt;=8,5,IF($T98&lt;=10,12,IF($T98&lt;=12,20,35)))))</x:f>
      </x:c>
      <x:c r="AB98" s="26" t="str">
        <x:f>IF($J98="","",($K98*18)+IF($L98&gt;=3,10,IF($L98=2,3,0))+IF($M98="Yes",5,0)+IF($N98="Yes",15,0)+IF($O98="Yes",50,0))</x:f>
      </x:c>
      <x:c r="AC98" s="26" t="str">
        <x:f>IF($U98="","",IF($U98&gt;=0.11,20,IF($U98&gt;=0.09,12,IF($U98&gt;=0.075,6,0))))</x:f>
      </x:c>
      <x:c r="AD98" s="26" t="str">
        <x:f>IF($H98="","",ROUND(($R98*0.25)+($S98*0.20)+($Y98*0.25)+((100-$Z98-$AA98-$AB98-$AC98)*0.30),1))</x:f>
      </x:c>
      <x:c r="AE98" s="2" t="str">
        <x:f>IF($AD98="","",IF($O98="Yes","SKIP - title issue",IF($X98&gt;Inputs!$B$5,"OVER BUDGET",IF($AD98&gt;=82,"BUY",IF($AD98&gt;=70,"MAYBE","SKIP")))))</x:f>
      </x:c>
      <x:c r="AF98" s="2"/>
    </x:row>
    <x:row r="99">
      <x:c r="A99" s="2" t="str">
        <x:f>IF($AD99="","",COUNTIF($AD$2:$AD$101,"&gt;"&amp;$AD99)+COUNTIFS($AD$2:$AD99,$AD99))</x:f>
      </x:c>
      <x:c r="B99" s="2"/>
      <x:c r="C99" s="2"/>
      <x:c r="D99" s="2"/>
      <x:c r="E99" s="2"/>
      <x:c r="F99" s="2"/>
      <x:c r="G99" s="2"/>
      <x:c r="H99" s="20"/>
      <x:c r="I99" s="22"/>
      <x:c r="J99" s="22"/>
      <x:c r="K99" s="2"/>
      <x:c r="L99" s="2"/>
      <x:c r="M99" s="2"/>
      <x:c r="N99" s="2"/>
      <x:c r="O99" s="2"/>
      <x:c r="P99" s="2"/>
      <x:c r="Q99" s="2"/>
      <x:c r="R99" s="2" t="str">
        <x:f>IFERROR(VLOOKUP($Q99,'Model Scores'!$A$2:$D$100,2,FALSE),70)</x:f>
      </x:c>
      <x:c r="S99" s="2" t="str">
        <x:f>IFERROR(VLOOKUP($Q99,'Model Scores'!$A$2:$D$100,3,FALSE),60)</x:f>
      </x:c>
      <x:c r="T99" s="2" t="str">
        <x:f>IF($C99="","",Inputs!$B$12-$C99)</x:f>
      </x:c>
      <x:c r="U99" s="24" t="str">
        <x:f>IF($H99="","",Inputs!$B$7+IF($C99&lt;=2016,Inputs!$B$8,0)+IF($I99&gt;100000,Inputs!$B$9,0)+IF($I99&gt;120000,Inputs!$B$10,0)+IF($I99&gt;150000,Inputs!$B$11,0))</x:f>
      </x:c>
      <x:c r="V99" s="20" t="str">
        <x:f>IF($H99="","",$H99*(1+Inputs!$B$3)+Inputs!$B$4)</x:f>
      </x:c>
      <x:c r="W99" s="20" t="str">
        <x:f>IF($V99="","",MAX(0,$V99-Inputs!$B$2))</x:f>
      </x:c>
      <x:c r="X99" s="20" t="str">
        <x:f>IF($W99="","",IF($U99=0,$W99/Inputs!$B$6,PMT($U99/12,Inputs!$B$6,-$W99)))</x:f>
      </x:c>
      <x:c r="Y99" s="26" t="str">
        <x:f>IF($X99="","",MAX(0,100-(MAX(0,$X99-Inputs!$B$5)*Inputs!$B$14)))</x:f>
      </x:c>
      <x:c r="Z99" s="26" t="str">
        <x:f>IF($I99="","",IF($I99&lt;=60000,0,IF($I99&lt;=90000,5,IF($I99&lt;=110000,12,IF($I99&lt;=130000,22,IF($I99&lt;=150000,35,50))))))</x:f>
      </x:c>
      <x:c r="AA99" s="26" t="str">
        <x:f>IF($T99="","",IF($T99&lt;=5,0,IF($T99&lt;=8,5,IF($T99&lt;=10,12,IF($T99&lt;=12,20,35)))))</x:f>
      </x:c>
      <x:c r="AB99" s="26" t="str">
        <x:f>IF($J99="","",($K99*18)+IF($L99&gt;=3,10,IF($L99=2,3,0))+IF($M99="Yes",5,0)+IF($N99="Yes",15,0)+IF($O99="Yes",50,0))</x:f>
      </x:c>
      <x:c r="AC99" s="26" t="str">
        <x:f>IF($U99="","",IF($U99&gt;=0.11,20,IF($U99&gt;=0.09,12,IF($U99&gt;=0.075,6,0))))</x:f>
      </x:c>
      <x:c r="AD99" s="26" t="str">
        <x:f>IF($H99="","",ROUND(($R99*0.25)+($S99*0.20)+($Y99*0.25)+((100-$Z99-$AA99-$AB99-$AC99)*0.30),1))</x:f>
      </x:c>
      <x:c r="AE99" s="2" t="str">
        <x:f>IF($AD99="","",IF($O99="Yes","SKIP - title issue",IF($X99&gt;Inputs!$B$5,"OVER BUDGET",IF($AD99&gt;=82,"BUY",IF($AD99&gt;=70,"MAYBE","SKIP")))))</x:f>
      </x:c>
      <x:c r="AF99" s="2"/>
    </x:row>
    <x:row r="100">
      <x:c r="A100" s="2" t="str">
        <x:f>IF($AD100="","",COUNTIF($AD$2:$AD$101,"&gt;"&amp;$AD100)+COUNTIFS($AD$2:$AD100,$AD100))</x:f>
      </x:c>
      <x:c r="B100" s="2"/>
      <x:c r="C100" s="2"/>
      <x:c r="D100" s="2"/>
      <x:c r="E100" s="2"/>
      <x:c r="F100" s="2"/>
      <x:c r="G100" s="2"/>
      <x:c r="H100" s="20"/>
      <x:c r="I100" s="22"/>
      <x:c r="J100" s="22"/>
      <x:c r="K100" s="2"/>
      <x:c r="L100" s="2"/>
      <x:c r="M100" s="2"/>
      <x:c r="N100" s="2"/>
      <x:c r="O100" s="2"/>
      <x:c r="P100" s="2"/>
      <x:c r="Q100" s="2"/>
      <x:c r="R100" s="2" t="str">
        <x:f>IFERROR(VLOOKUP($Q100,'Model Scores'!$A$2:$D$100,2,FALSE),70)</x:f>
      </x:c>
      <x:c r="S100" s="2" t="str">
        <x:f>IFERROR(VLOOKUP($Q100,'Model Scores'!$A$2:$D$100,3,FALSE),60)</x:f>
      </x:c>
      <x:c r="T100" s="2" t="str">
        <x:f>IF($C100="","",Inputs!$B$12-$C100)</x:f>
      </x:c>
      <x:c r="U100" s="24" t="str">
        <x:f>IF($H100="","",Inputs!$B$7+IF($C100&lt;=2016,Inputs!$B$8,0)+IF($I100&gt;100000,Inputs!$B$9,0)+IF($I100&gt;120000,Inputs!$B$10,0)+IF($I100&gt;150000,Inputs!$B$11,0))</x:f>
      </x:c>
      <x:c r="V100" s="20" t="str">
        <x:f>IF($H100="","",$H100*(1+Inputs!$B$3)+Inputs!$B$4)</x:f>
      </x:c>
      <x:c r="W100" s="20" t="str">
        <x:f>IF($V100="","",MAX(0,$V100-Inputs!$B$2))</x:f>
      </x:c>
      <x:c r="X100" s="20" t="str">
        <x:f>IF($W100="","",IF($U100=0,$W100/Inputs!$B$6,PMT($U100/12,Inputs!$B$6,-$W100)))</x:f>
      </x:c>
      <x:c r="Y100" s="26" t="str">
        <x:f>IF($X100="","",MAX(0,100-(MAX(0,$X100-Inputs!$B$5)*Inputs!$B$14)))</x:f>
      </x:c>
      <x:c r="Z100" s="26" t="str">
        <x:f>IF($I100="","",IF($I100&lt;=60000,0,IF($I100&lt;=90000,5,IF($I100&lt;=110000,12,IF($I100&lt;=130000,22,IF($I100&lt;=150000,35,50))))))</x:f>
      </x:c>
      <x:c r="AA100" s="26" t="str">
        <x:f>IF($T100="","",IF($T100&lt;=5,0,IF($T100&lt;=8,5,IF($T100&lt;=10,12,IF($T100&lt;=12,20,35)))))</x:f>
      </x:c>
      <x:c r="AB100" s="26" t="str">
        <x:f>IF($J100="","",($K100*18)+IF($L100&gt;=3,10,IF($L100=2,3,0))+IF($M100="Yes",5,0)+IF($N100="Yes",15,0)+IF($O100="Yes",50,0))</x:f>
      </x:c>
      <x:c r="AC100" s="26" t="str">
        <x:f>IF($U100="","",IF($U100&gt;=0.11,20,IF($U100&gt;=0.09,12,IF($U100&gt;=0.075,6,0))))</x:f>
      </x:c>
      <x:c r="AD100" s="26" t="str">
        <x:f>IF($H100="","",ROUND(($R100*0.25)+($S100*0.20)+($Y100*0.25)+((100-$Z100-$AA100-$AB100-$AC100)*0.30),1))</x:f>
      </x:c>
      <x:c r="AE100" s="2" t="str">
        <x:f>IF($AD100="","",IF($O100="Yes","SKIP - title issue",IF($X100&gt;Inputs!$B$5,"OVER BUDGET",IF($AD100&gt;=82,"BUY",IF($AD100&gt;=70,"MAYBE","SKIP")))))</x:f>
      </x:c>
      <x:c r="AF100" s="2"/>
    </x:row>
    <x:row r="101">
      <x:c r="A101" s="2" t="str">
        <x:f>IF($AD101="","",COUNTIF($AD$2:$AD$101,"&gt;"&amp;$AD101)+COUNTIFS($AD$2:$AD101,$AD101))</x:f>
      </x:c>
      <x:c r="B101" s="2"/>
      <x:c r="C101" s="2"/>
      <x:c r="D101" s="2"/>
      <x:c r="E101" s="2"/>
      <x:c r="F101" s="2"/>
      <x:c r="G101" s="2"/>
      <x:c r="H101" s="20"/>
      <x:c r="I101" s="22"/>
      <x:c r="J101" s="22"/>
      <x:c r="K101" s="2"/>
      <x:c r="L101" s="2"/>
      <x:c r="M101" s="2"/>
      <x:c r="N101" s="2"/>
      <x:c r="O101" s="2"/>
      <x:c r="P101" s="2"/>
      <x:c r="Q101" s="2"/>
      <x:c r="R101" s="2" t="str">
        <x:f>IFERROR(VLOOKUP($Q101,'Model Scores'!$A$2:$D$100,2,FALSE),70)</x:f>
      </x:c>
      <x:c r="S101" s="2" t="str">
        <x:f>IFERROR(VLOOKUP($Q101,'Model Scores'!$A$2:$D$100,3,FALSE),60)</x:f>
      </x:c>
      <x:c r="T101" s="2" t="str">
        <x:f>IF($C101="","",Inputs!$B$12-$C101)</x:f>
      </x:c>
      <x:c r="U101" s="24" t="str">
        <x:f>IF($H101="","",Inputs!$B$7+IF($C101&lt;=2016,Inputs!$B$8,0)+IF($I101&gt;100000,Inputs!$B$9,0)+IF($I101&gt;120000,Inputs!$B$10,0)+IF($I101&gt;150000,Inputs!$B$11,0))</x:f>
      </x:c>
      <x:c r="V101" s="20" t="str">
        <x:f>IF($H101="","",$H101*(1+Inputs!$B$3)+Inputs!$B$4)</x:f>
      </x:c>
      <x:c r="W101" s="20" t="str">
        <x:f>IF($V101="","",MAX(0,$V101-Inputs!$B$2))</x:f>
      </x:c>
      <x:c r="X101" s="20" t="str">
        <x:f>IF($W101="","",IF($U101=0,$W101/Inputs!$B$6,PMT($U101/12,Inputs!$B$6,-$W101)))</x:f>
      </x:c>
      <x:c r="Y101" s="26" t="str">
        <x:f>IF($X101="","",MAX(0,100-(MAX(0,$X101-Inputs!$B$5)*Inputs!$B$14)))</x:f>
      </x:c>
      <x:c r="Z101" s="26" t="str">
        <x:f>IF($I101="","",IF($I101&lt;=60000,0,IF($I101&lt;=90000,5,IF($I101&lt;=110000,12,IF($I101&lt;=130000,22,IF($I101&lt;=150000,35,50))))))</x:f>
      </x:c>
      <x:c r="AA101" s="26" t="str">
        <x:f>IF($T101="","",IF($T101&lt;=5,0,IF($T101&lt;=8,5,IF($T101&lt;=10,12,IF($T101&lt;=12,20,35)))))</x:f>
      </x:c>
      <x:c r="AB101" s="26" t="str">
        <x:f>IF($J101="","",($K101*18)+IF($L101&gt;=3,10,IF($L101=2,3,0))+IF($M101="Yes",5,0)+IF($N101="Yes",15,0)+IF($O101="Yes",50,0))</x:f>
      </x:c>
      <x:c r="AC101" s="26" t="str">
        <x:f>IF($U101="","",IF($U101&gt;=0.11,20,IF($U101&gt;=0.09,12,IF($U101&gt;=0.075,6,0))))</x:f>
      </x:c>
      <x:c r="AD101" s="26" t="str">
        <x:f>IF($H101="","",ROUND(($R101*0.25)+($S101*0.20)+($Y101*0.25)+((100-$Z101-$AA101-$AB101-$AC101)*0.30),1))</x:f>
      </x:c>
      <x:c r="AE101" s="2" t="str">
        <x:f>IF($AD101="","",IF($O101="Yes","SKIP - title issue",IF($X101&gt;Inputs!$B$5,"OVER BUDGET",IF($AD101&gt;=82,"BUY",IF($AD101&gt;=70,"MAYBE","SKIP")))))</x:f>
      </x:c>
      <x:c r="AF101" s="2"/>
    </x:row>
  </x:sheetData>
  <x:conditionalFormatting sqref="X2:X101">
    <x:cfRule type="cellIs" dxfId="0" priority="1" operator="greaterThan">
      <x:formula>Inputs!$B$5</x:formula>
    </x:cfRule>
  </x:conditionalFormatting>
  <x:conditionalFormatting sqref="AD2:AD10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E2:AE101">
    <x:cfRule type="expression" dxfId="1" priority="3">
      <x:formula>$AE2="BUY"</x:formula>
    </x:cfRule>
    <x:cfRule type="expression" dxfId="2" priority="4">
      <x:formula>$AE2="OVER BUDGET"</x:formula>
    </x:cfRule>
    <x:cfRule type="expression" dxfId="3" priority="5">
      <x:formula>LEFT($AE2,4)="SKIP"</x:formula>
    </x:cfRule>
  </x:conditionalFormatting>
  <x:dataValidations count="5">
    <x:dataValidation type="list" sqref="M2:O101">
      <x:formula1>"Yes,No"</x:formula1>
    </x:dataValidation>
    <x:dataValidation type="list" sqref="P2:P101">
      <x:formula1>"Yes,No"</x:formula1>
    </x:dataValidation>
    <x:dataValidation operator="between" sqref="K2:K101">
      <x:formula1>0</x:formula1>
      <x:formula2>5</x:formula2>
    </x:dataValidation>
    <x:dataValidation operator="between" sqref="L2:L101">
      <x:formula1>0</x:formula1>
      <x:formula2>10</x:formula2>
    </x:dataValidation>
    <x:dataValidation type="list" sqref="Q2:Q101">
      <x:formula1>'Model Scores'!$A$2:$A$50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82210fe76f41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4" max="4" width="55" hidden="0" customWidth="1"/>
  </x:cols>
  <x:sheetData>
    <x:row r="1">
      <x:c r="A1" s="7" t="str">
        <x:v>Make/Model Key</x:v>
      </x:c>
      <x:c r="B1" s="7" t="str">
        <x:v>Reliability Score</x:v>
      </x:c>
      <x:c r="C1" s="7" t="str">
        <x:v>Space Score</x:v>
      </x:c>
      <x:c r="D1" s="7" t="str">
        <x:v>Notes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2" t="str">
        <x:v>Honda CR-V</x:v>
      </x:c>
      <x:c r="B2" s="2" t="n">
        <x:v>88</x:v>
      </x:c>
      <x:c r="C2" s="2" t="n">
        <x:v>90</x:v>
      </x:c>
      <x:c r="D2" s="2" t="str">
        <x:v>Very practical small SUV; good cargo space and ownership costs.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2" t="str">
        <x:v>Toyota RAV4</x:v>
      </x:c>
      <x:c r="B3" s="2" t="n">
        <x:v>90</x:v>
      </x:c>
      <x:c r="C3" s="2" t="n">
        <x:v>88</x:v>
      </x:c>
      <x:c r="D3" s="2" t="str">
        <x:v>Strong reliability and cargo usefulness; often priced higher.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 t="str">
        <x:v>Mazda CX-5</x:v>
      </x:c>
      <x:c r="B4" s="2" t="n">
        <x:v>84</x:v>
      </x:c>
      <x:c r="C4" s="2" t="n">
        <x:v>82</x:v>
      </x:c>
      <x:c r="D4" s="2" t="str">
        <x:v>Good drivetrain and value; cargo a little less than CR-V/RAV4.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 t="str">
        <x:v>Mazda CX-30</x:v>
      </x:c>
      <x:c r="B5" s="2" t="n">
        <x:v>82</x:v>
      </x:c>
      <x:c r="C5" s="2" t="n">
        <x:v>62</x:v>
      </x:c>
      <x:c r="D5" s="2" t="str">
        <x:v>Reliable small crossover; cargo is only moderate.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2" t="str">
        <x:v>Toyota Prius</x:v>
      </x:c>
      <x:c r="B6" s="2" t="n">
        <x:v>88</x:v>
      </x:c>
      <x:c r="C6" s="2" t="n">
        <x:v>76</x:v>
      </x:c>
      <x:c r="D6" s="2" t="str">
        <x:v>Great MPG and hatchback utility; watch older hybrid battery health.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2" t="str">
        <x:v>Toyota Prius v</x:v>
      </x:c>
      <x:c r="B7" s="2" t="n">
        <x:v>86</x:v>
      </x:c>
      <x:c r="C7" s="2" t="n">
        <x:v>90</x:v>
      </x:c>
      <x:c r="D7" s="2" t="str">
        <x:v>Excellent wagon-like cargo; older hybrid battery risk.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" t="str">
        <x:v>Honda Fit</x:v>
      </x:c>
      <x:c r="B8" s="2" t="n">
        <x:v>86</x:v>
      </x:c>
      <x:c r="C8" s="2" t="n">
        <x:v>82</x:v>
      </x:c>
      <x:c r="D8" s="2" t="str">
        <x:v>Tiny outside, very useful cargo configuration.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" t="str">
        <x:v>Mazda3 Hatchback</x:v>
      </x:c>
      <x:c r="B9" s="2" t="n">
        <x:v>83</x:v>
      </x:c>
      <x:c r="C9" s="2" t="n">
        <x:v>70</x:v>
      </x:c>
      <x:c r="D9" s="2" t="str">
        <x:v>Good reliability and driving feel; less cargo than small SUVs.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" t="str">
        <x:v>Subaru Forester</x:v>
      </x:c>
      <x:c r="B10" s="2" t="n">
        <x:v>78</x:v>
      </x:c>
      <x:c r="C10" s="2" t="n">
        <x:v>88</x:v>
      </x:c>
      <x:c r="D10" s="2" t="str">
        <x:v>Great space/AWD; inspect CVT, oil consumption, AWD tire history.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" t="str">
        <x:v>Subaru Outback</x:v>
      </x:c>
      <x:c r="B11" s="2" t="n">
        <x:v>78</x:v>
      </x:c>
      <x:c r="C11" s="2" t="n">
        <x:v>95</x:v>
      </x:c>
      <x:c r="D11" s="2" t="str">
        <x:v>Great wagon/SUV cargo; higher AWD/CVT inspection priority.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" t="str">
        <x:v>Subaru Crosstrek</x:v>
      </x:c>
      <x:c r="B12" s="2" t="n">
        <x:v>76</x:v>
      </x:c>
      <x:c r="C12" s="2" t="n">
        <x:v>68</x:v>
      </x:c>
      <x:c r="D12" s="2" t="str">
        <x:v>Useful AWD hatchback; smaller cargo area than it looks.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" t="str">
        <x:v>Lexus RX 350</x:v>
      </x:c>
      <x:c r="B13" s="2" t="n">
        <x:v>90</x:v>
      </x:c>
      <x:c r="C13" s="2" t="n">
        <x:v>90</x:v>
      </x:c>
      <x:c r="D13" s="2" t="str">
        <x:v>Very reliable midsize SUV; fuel/repair costs higher than CR-V/RAV4.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" t="str">
        <x:v>Honda HR-V</x:v>
      </x:c>
      <x:c r="B14" s="2" t="n">
        <x:v>82</x:v>
      </x:c>
      <x:c r="C14" s="2" t="n">
        <x:v>76</x:v>
      </x:c>
      <x:c r="D14" s="2" t="str">
        <x:v>Practical small crossover; inspect CVT.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" t="str">
        <x:v>Toyota Corolla Hatchback</x:v>
      </x:c>
      <x:c r="B15" s="2" t="n">
        <x:v>88</x:v>
      </x:c>
      <x:c r="C15" s="2" t="n">
        <x:v>60</x:v>
      </x:c>
      <x:c r="D15" s="2" t="str">
        <x:v>Reliable, but cargo space is not huge.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</x:sheetData>
  <x:pageMargins left="0.7" right="0.7" top="0.75" bottom="0.75" header="0.3" footer="0.3"/>
  <x:tableParts count="1">
    <x:tablePart xmlns:r="http://schemas.openxmlformats.org/officeDocument/2006/relationships" r:id="R07963bfc83854c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7" t="str">
        <x:v>Used Car Optimizer Dashboard</x:v>
      </x:c>
      <x:c r="B1" s="7" t="str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2" t="str">
        <x:v>Budget</x:v>
      </x:c>
      <x:c r="B2" s="20" t="n">
        <x:f>Inputs!B5</x:f>
        <x:v>300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2" t="str">
        <x:v>Down payment</x:v>
      </x:c>
      <x:c r="B3" s="20" t="n">
        <x:f>Inputs!B2</x:f>
        <x:v>5000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 t="str">
        <x:v>Loan term</x:v>
      </x:c>
      <x:c r="B4" s="2" t="n">
        <x:f>Inputs!B6</x:f>
        <x:v>72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 t="str">
        <x:v>Best total score</x:v>
      </x:c>
      <x:c r="B5" s="2" t="n">
        <x:f>MAX(Cars!AD2:AD101)</x:f>
        <x:v>88.5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2" t="str">
        <x:v>Best buy candidate</x:v>
      </x:c>
      <x:c r="B6" s="2" t="str">
        <x:f>IFERROR(INDEX(Cars!D2:D101&amp;" "&amp;Cars!E2:E101, MATCH(MAX(Cars!AD2:AD101), Cars!AD2:AD101,0)),"")</x:f>
        <x:v>Mazda CX-5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2" t="str">
        <x:v>Estimated payment of best</x:v>
      </x:c>
      <x:c r="B7" s="20" t="n">
        <x:f>IFERROR(INDEX(Cars!X2:X101, MATCH(MAX(Cars!AD2:AD101), Cars!AD2:AD101,0)),"")</x:f>
        <x:v>274.2119769879481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" t="str">
        <x:v>Cars under budget</x:v>
      </x:c>
      <x:c r="B8" s="20" t="n">
        <x:f>COUNTIFS(Cars!X2:X101,"&lt;="&amp;Inputs!B5,Cars!X2:X101,"&gt;0")</x:f>
        <x:v>5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7" t="str">
        <x:v>Top 10 Ranked Cars</x:v>
      </x:c>
      <x:c r="B10" s="7" t="str"/>
      <x:c r="C10" s="7"/>
      <x:c r="D10" s="7"/>
      <x:c r="E10" s="7"/>
      <x:c r="F10" s="7"/>
      <x:c r="G10" s="7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7" t="str">
        <x:v>Rank</x:v>
      </x:c>
      <x:c r="B11" s="7" t="str">
        <x:v>Car</x:v>
      </x:c>
      <x:c r="C11" s="7" t="str">
        <x:v>Price</x:v>
      </x:c>
      <x:c r="D11" s="7" t="str">
        <x:v>Mileage</x:v>
      </x:c>
      <x:c r="E11" s="7" t="str">
        <x:v>Monthly</x:v>
      </x:c>
      <x:c r="F11" s="7" t="str">
        <x:v>Score</x:v>
      </x:c>
      <x:c r="G11" s="7" t="str">
        <x:v>Verdict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" t="n">
        <x:f>1</x:f>
        <x:v>1</x:v>
      </x:c>
      <x:c r="B12" s="2" t="str">
        <x:f>IFERROR(INDEX(Cars!$D$2:$D$101&amp;" "&amp;Cars!$E$2:$E$101, MATCH(1, Cars!$A$2:$A$101,0)),"")</x:f>
        <x:v>Mazda CX-5</x:v>
      </x:c>
      <x:c r="C12" s="20" t="n">
        <x:f>IFERROR(INDEX(Cars!$H$2:$H$101, MATCH(1, Cars!$A$2:$A$101,0)),"")</x:f>
        <x:v>19000</x:v>
      </x:c>
      <x:c r="D12" s="2" t="n">
        <x:f>IFERROR(INDEX(Cars!$I$2:$I$101, MATCH(1, Cars!$A$2:$A$101,0)),"")</x:f>
        <x:v>86000</x:v>
      </x:c>
      <x:c r="E12" s="20" t="n">
        <x:f>IFERROR(INDEX(Cars!$X$2:$X$101, MATCH(1, Cars!$A$2:$A$101,0)),"")</x:f>
        <x:v>274.2119769879481</x:v>
      </x:c>
      <x:c r="F12" s="26" t="n">
        <x:f>IFERROR(INDEX(Cars!$AD$2:$AD$101, MATCH(1, Cars!$A$2:$A$101,0)),"")</x:f>
        <x:v>88.5</x:v>
      </x:c>
      <x:c r="G12" s="2" t="str">
        <x:f>IFERROR(INDEX(Cars!$AE$2:$AE$101, MATCH(1, Cars!$A$2:$A$101,0)),"")</x:f>
        <x:v>BUY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" t="n">
        <x:f>2</x:f>
        <x:v>2</x:v>
      </x:c>
      <x:c r="B13" s="2" t="str">
        <x:f>IFERROR(INDEX(Cars!$D$2:$D$101&amp;" "&amp;Cars!$E$2:$E$101, MATCH(2, Cars!$A$2:$A$101,0)),"")</x:f>
        <x:v>Mazda Mazda3</x:v>
      </x:c>
      <x:c r="C13" s="20" t="n">
        <x:f>IFERROR(INDEX(Cars!$H$2:$H$101, MATCH(2, Cars!$A$2:$A$101,0)),"")</x:f>
        <x:v>17000</x:v>
      </x:c>
      <x:c r="D13" s="2" t="n">
        <x:f>IFERROR(INDEX(Cars!$I$2:$I$101, MATCH(2, Cars!$A$2:$A$101,0)),"")</x:f>
        <x:v>85000</x:v>
      </x:c>
      <x:c r="E13" s="20" t="n">
        <x:f>IFERROR(INDEX(Cars!$X$2:$X$101, MATCH(2, Cars!$A$2:$A$101,0)),"")</x:f>
        <x:v>237.6503800562217</x:v>
      </x:c>
      <x:c r="F13" s="26" t="n">
        <x:f>IFERROR(INDEX(Cars!$AD$2:$AD$101, MATCH(2, Cars!$A$2:$A$101,0)),"")</x:f>
        <x:v>85.9</x:v>
      </x:c>
      <x:c r="G13" s="2" t="str">
        <x:f>IFERROR(INDEX(Cars!$AE$2:$AE$101, MATCH(2, Cars!$A$2:$A$101,0)),"")</x:f>
        <x:v>BUY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" t="n">
        <x:f>3</x:f>
        <x:v>3</x:v>
      </x:c>
      <x:c r="B14" s="2" t="str">
        <x:f>IFERROR(INDEX(Cars!$D$2:$D$101&amp;" "&amp;Cars!$E$2:$E$101, MATCH(3, Cars!$A$2:$A$101,0)),"")</x:f>
        <x:v>Honda CR-V</x:v>
      </x:c>
      <x:c r="C14" s="20" t="n">
        <x:f>IFERROR(INDEX(Cars!$H$2:$H$101, MATCH(3, Cars!$A$2:$A$101,0)),"")</x:f>
        <x:v>16998</x:v>
      </x:c>
      <x:c r="D14" s="2" t="n">
        <x:f>IFERROR(INDEX(Cars!$I$2:$I$101, MATCH(3, Cars!$A$2:$A$101,0)),"")</x:f>
        <x:v>77230</x:v>
      </x:c>
      <x:c r="E14" s="20" t="n">
        <x:f>IFERROR(INDEX(Cars!$X$2:$X$101, MATCH(3, Cars!$A$2:$A$101,0)),"")</x:f>
        <x:v>247.83805435315153</x:v>
      </x:c>
      <x:c r="F14" s="26" t="n">
        <x:f>IFERROR(INDEX(Cars!$AD$2:$AD$101, MATCH(3, Cars!$A$2:$A$101,0)),"")</x:f>
        <x:v>85.7</x:v>
      </x:c>
      <x:c r="G14" s="2" t="str">
        <x:f>IFERROR(INDEX(Cars!$AE$2:$AE$101, MATCH(3, Cars!$A$2:$A$101,0)),"")</x:f>
        <x:v>BUY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" t="n">
        <x:f>4</x:f>
        <x:v>4</x:v>
      </x:c>
      <x:c r="B15" s="2" t="str">
        <x:f>IFERROR(INDEX(Cars!$D$2:$D$101&amp;" "&amp;Cars!$E$2:$E$101, MATCH(4, Cars!$A$2:$A$101,0)),"")</x:f>
        <x:v>Honda Fit</x:v>
      </x:c>
      <x:c r="C15" s="20" t="n">
        <x:f>IFERROR(INDEX(Cars!$H$2:$H$101, MATCH(4, Cars!$A$2:$A$101,0)),"")</x:f>
        <x:v>17000</x:v>
      </x:c>
      <x:c r="D15" s="2" t="n">
        <x:f>IFERROR(INDEX(Cars!$I$2:$I$101, MATCH(4, Cars!$A$2:$A$101,0)),"")</x:f>
        <x:v>70000</x:v>
      </x:c>
      <x:c r="E15" s="20" t="n">
        <x:f>IFERROR(INDEX(Cars!$X$2:$X$101, MATCH(4, Cars!$A$2:$A$101,0)),"")</x:f>
        <x:v>247.87618915148258</x:v>
      </x:c>
      <x:c r="F15" s="26" t="n">
        <x:f>IFERROR(INDEX(Cars!$AD$2:$AD$101, MATCH(4, Cars!$A$2:$A$101,0)),"")</x:f>
        <x:v>85.1</x:v>
      </x:c>
      <x:c r="G15" s="2" t="str">
        <x:f>IFERROR(INDEX(Cars!$AE$2:$AE$101, MATCH(4, Cars!$A$2:$A$101,0)),"")</x:f>
        <x:v>BUY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" t="n">
        <x:f>5</x:f>
        <x:v>5</x:v>
      </x:c>
      <x:c r="B16" s="2" t="str">
        <x:f>IFERROR(INDEX(Cars!$D$2:$D$101&amp;" "&amp;Cars!$E$2:$E$101, MATCH(5, Cars!$A$2:$A$101,0)),"")</x:f>
        <x:v>Lexus RX 350</x:v>
      </x:c>
      <x:c r="C16" s="20" t="n">
        <x:f>IFERROR(INDEX(Cars!$H$2:$H$101, MATCH(5, Cars!$A$2:$A$101,0)),"")</x:f>
        <x:v>18000</x:v>
      </x:c>
      <x:c r="D16" s="2" t="n">
        <x:f>IFERROR(INDEX(Cars!$I$2:$I$101, MATCH(5, Cars!$A$2:$A$101,0)),"")</x:f>
        <x:v>83000</x:v>
      </x:c>
      <x:c r="E16" s="20" t="n">
        <x:f>IFERROR(INDEX(Cars!$X$2:$X$101, MATCH(5, Cars!$A$2:$A$101,0)),"")</x:f>
        <x:v>266.9435883169812</x:v>
      </x:c>
      <x:c r="F16" s="26" t="n">
        <x:f>IFERROR(INDEX(Cars!$AD$2:$AD$101, MATCH(5, Cars!$A$2:$A$101,0)),"")</x:f>
        <x:v>83.8</x:v>
      </x:c>
      <x:c r="G16" s="2" t="str">
        <x:f>IFERROR(INDEX(Cars!$AE$2:$AE$101, MATCH(5, Cars!$A$2:$A$101,0)),"")</x:f>
        <x:v>BUY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" t="n">
        <x:f>6</x:f>
        <x:v>6</x:v>
      </x:c>
      <x:c r="B17" s="2" t="str">
        <x:f>IFERROR(INDEX(Cars!$D$2:$D$101&amp;" "&amp;Cars!$E$2:$E$101, MATCH(6, Cars!$A$2:$A$101,0)),"")</x:f>
        <x:v>Mazda CX-30</x:v>
      </x:c>
      <x:c r="C17" s="20" t="n">
        <x:f>IFERROR(INDEX(Cars!$H$2:$H$101, MATCH(6, Cars!$A$2:$A$101,0)),"")</x:f>
        <x:v>21000</x:v>
      </x:c>
      <x:c r="D17" s="2" t="n">
        <x:f>IFERROR(INDEX(Cars!$I$2:$I$101, MATCH(6, Cars!$A$2:$A$101,0)),"")</x:f>
        <x:v>40000</x:v>
      </x:c>
      <x:c r="E17" s="20" t="n">
        <x:f>IFERROR(INDEX(Cars!$X$2:$X$101, MATCH(6, Cars!$A$2:$A$101,0)),"")</x:f>
        <x:v>310.77357391967445</x:v>
      </x:c>
      <x:c r="F17" s="26" t="n">
        <x:f>IFERROR(INDEX(Cars!$AD$2:$AD$101, MATCH(6, Cars!$A$2:$A$101,0)),"")</x:f>
        <x:v>78.8</x:v>
      </x:c>
      <x:c r="G17" s="2" t="str">
        <x:f>IFERROR(INDEX(Cars!$AE$2:$AE$101, MATCH(6, Cars!$A$2:$A$101,0)),"")</x:f>
        <x:v>OVER BUDGET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" t="n">
        <x:f>7</x:f>
        <x:v>7</x:v>
      </x:c>
      <x:c r="B18" s="2" t="str">
        <x:f>IFERROR(INDEX(Cars!$D$2:$D$101&amp;" "&amp;Cars!$E$2:$E$101, MATCH(7, Cars!$A$2:$A$101,0)),"")</x:f>
      </x:c>
      <x:c r="C18" s="20" t="str">
        <x:f>IFERROR(INDEX(Cars!$H$2:$H$101, MATCH(7, Cars!$A$2:$A$101,0)),"")</x:f>
      </x:c>
      <x:c r="D18" s="2" t="str">
        <x:f>IFERROR(INDEX(Cars!$I$2:$I$101, MATCH(7, Cars!$A$2:$A$101,0)),"")</x:f>
      </x:c>
      <x:c r="E18" s="20" t="str">
        <x:f>IFERROR(INDEX(Cars!$X$2:$X$101, MATCH(7, Cars!$A$2:$A$101,0)),"")</x:f>
      </x:c>
      <x:c r="F18" s="26" t="str">
        <x:f>IFERROR(INDEX(Cars!$AD$2:$AD$101, MATCH(7, Cars!$A$2:$A$101,0)),"")</x:f>
      </x:c>
      <x:c r="G18" s="2" t="str">
        <x:f>IFERROR(INDEX(Cars!$AE$2:$AE$101, MATCH(7, Cars!$A$2:$A$101,0)),"")</x:f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" t="n">
        <x:f>8</x:f>
        <x:v>8</x:v>
      </x:c>
      <x:c r="B19" s="2" t="str">
        <x:f>IFERROR(INDEX(Cars!$D$2:$D$101&amp;" "&amp;Cars!$E$2:$E$101, MATCH(8, Cars!$A$2:$A$101,0)),"")</x:f>
      </x:c>
      <x:c r="C19" s="20" t="str">
        <x:f>IFERROR(INDEX(Cars!$H$2:$H$101, MATCH(8, Cars!$A$2:$A$101,0)),"")</x:f>
      </x:c>
      <x:c r="D19" s="2" t="str">
        <x:f>IFERROR(INDEX(Cars!$I$2:$I$101, MATCH(8, Cars!$A$2:$A$101,0)),"")</x:f>
      </x:c>
      <x:c r="E19" s="20" t="str">
        <x:f>IFERROR(INDEX(Cars!$X$2:$X$101, MATCH(8, Cars!$A$2:$A$101,0)),"")</x:f>
      </x:c>
      <x:c r="F19" s="26" t="str">
        <x:f>IFERROR(INDEX(Cars!$AD$2:$AD$101, MATCH(8, Cars!$A$2:$A$101,0)),"")</x:f>
      </x:c>
      <x:c r="G19" s="2" t="str">
        <x:f>IFERROR(INDEX(Cars!$AE$2:$AE$101, MATCH(8, Cars!$A$2:$A$101,0)),"")</x:f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" t="n">
        <x:f>9</x:f>
        <x:v>9</x:v>
      </x:c>
      <x:c r="B20" s="2" t="str">
        <x:f>IFERROR(INDEX(Cars!$D$2:$D$101&amp;" "&amp;Cars!$E$2:$E$101, MATCH(9, Cars!$A$2:$A$101,0)),"")</x:f>
      </x:c>
      <x:c r="C20" s="20" t="str">
        <x:f>IFERROR(INDEX(Cars!$H$2:$H$101, MATCH(9, Cars!$A$2:$A$101,0)),"")</x:f>
      </x:c>
      <x:c r="D20" s="2" t="str">
        <x:f>IFERROR(INDEX(Cars!$I$2:$I$101, MATCH(9, Cars!$A$2:$A$101,0)),"")</x:f>
      </x:c>
      <x:c r="E20" s="20" t="str">
        <x:f>IFERROR(INDEX(Cars!$X$2:$X$101, MATCH(9, Cars!$A$2:$A$101,0)),"")</x:f>
      </x:c>
      <x:c r="F20" s="26" t="str">
        <x:f>IFERROR(INDEX(Cars!$AD$2:$AD$101, MATCH(9, Cars!$A$2:$A$101,0)),"")</x:f>
      </x:c>
      <x:c r="G20" s="2" t="str">
        <x:f>IFERROR(INDEX(Cars!$AE$2:$AE$101, MATCH(9, Cars!$A$2:$A$101,0)),"")</x:f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" t="n">
        <x:f>10</x:f>
        <x:v>10</x:v>
      </x:c>
      <x:c r="B21" s="2" t="str">
        <x:f>IFERROR(INDEX(Cars!$D$2:$D$101&amp;" "&amp;Cars!$E$2:$E$101, MATCH(10, Cars!$A$2:$A$101,0)),"")</x:f>
      </x:c>
      <x:c r="C21" s="20" t="str">
        <x:f>IFERROR(INDEX(Cars!$H$2:$H$101, MATCH(10, Cars!$A$2:$A$101,0)),"")</x:f>
      </x:c>
      <x:c r="D21" s="2" t="str">
        <x:f>IFERROR(INDEX(Cars!$I$2:$I$101, MATCH(10, Cars!$A$2:$A$101,0)),"")</x:f>
      </x:c>
      <x:c r="E21" s="20" t="str">
        <x:f>IFERROR(INDEX(Cars!$X$2:$X$101, MATCH(10, Cars!$A$2:$A$101,0)),"")</x:f>
      </x:c>
      <x:c r="F21" s="26" t="str">
        <x:f>IFERROR(INDEX(Cars!$AD$2:$AD$101, MATCH(10, Cars!$A$2:$A$101,0)),"")</x:f>
      </x:c>
      <x:c r="G21" s="2" t="str">
        <x:f>IFERROR(INDEX(Cars!$AE$2:$AE$101, MATCH(10, Cars!$A$2:$A$101,0)),"")</x:f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</x:sheetData>
  <x:pageMargins left="0.7" right="0.7" top="0.75" bottom="0.75" header="0.3" footer="0.3"/>
  <x:drawing xmlns:r="http://schemas.openxmlformats.org/officeDocument/2006/relationships" r:id="Rd907d243b51f4166"/>
</x:worksheet>
</file>

<file path=xl/worksheets/sheet5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7" t="str">
        <x:v>How to use this workbook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2" t="str">
        <x:v>1. Go to the Inputs sheet and update down payment, APR assumption, tax, fees, and loan term.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2" t="str">
        <x:v>2. Go to the Cars sheet and paste/edit one car per row. Enter price, mileage, VIN, history info, and Model Key.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 t="str">
        <x:v>3. Use the Model Key values from the Model Scores sheet, or add your own model with reliability/space scores.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>
      <x:c r="A5" s="2" t="str">
        <x:v>4. The workbook estimates APR, out-the-door price, amount financed, monthly payment, and a total score.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</x:row>
    <x:row r="6">
      <x:c r="A6" s="2" t="str">
        <x:v>5. The Dashboard ranks the cars automatically.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>
      <x:c r="A7" s="2" t="str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</x:row>
    <x:row r="8">
      <x:c r="A8" s="2" t="str">
        <x:v>Important cautions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</x:row>
    <x:row r="9">
      <x:c r="A9" s="2" t="str">
        <x:v>This is a shopping optimizer, not a lender approval. Replace estimated APR/fees with real quotes before deciding.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</x:row>
    <x:row r="10">
      <x:c r="A10" s="2" t="str">
        <x:v>Always verify title, accidents, odometer, rental/fleet use, open recalls, and get a pre-purchase inspection when possible.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</x:row>
    <x:row r="11">
      <x:c r="A11" s="2" t="str">
        <x:v>For private-party listings, verify smog, registration, seller name on title, VIN match, and lien status.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</x:row>
  </x:sheetData>
  <x:pageMargins left="0.7" right="0.7" top="0.75" bottom="0.75" header="0.3" footer="0.3"/>
</x:worksheet>
</file>